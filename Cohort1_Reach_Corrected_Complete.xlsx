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 - Total Reach Corrected" sheetId="1" state="visible" r:id="rId3"/>
    <sheet name="Exact Change Log" sheetId="2" state="visible" r:id="rId4"/>
    <sheet name="Before vs After" sheetId="3" state="visible" r:id="rId5"/>
    <sheet name="Actio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<sst xmlns="http://schemas.openxmlformats.org/spreadsheetml/2006/main" count="919" uniqueCount="194">
  <si>
    <t xml:space="preserve">Cohort 1 - Total Reach</t>
  </si>
  <si>
    <t xml:space="preserve">Apr'23</t>
  </si>
  <si>
    <t xml:space="preserve">May'23</t>
  </si>
  <si>
    <t xml:space="preserve">Jun'23</t>
  </si>
  <si>
    <t xml:space="preserve">Jul'23</t>
  </si>
  <si>
    <t xml:space="preserve">Aug'23</t>
  </si>
  <si>
    <t xml:space="preserve">Sep'23</t>
  </si>
  <si>
    <t xml:space="preserve">Oct'23</t>
  </si>
  <si>
    <t xml:space="preserve">Nov'23</t>
  </si>
  <si>
    <t xml:space="preserve">Dec'23</t>
  </si>
  <si>
    <t xml:space="preserve">Jan'24</t>
  </si>
  <si>
    <t xml:space="preserve">Feb'24</t>
  </si>
  <si>
    <t xml:space="preserve">Mar'24</t>
  </si>
  <si>
    <t xml:space="preserve">Apr'24</t>
  </si>
  <si>
    <t xml:space="preserve">May'24</t>
  </si>
  <si>
    <t xml:space="preserve">Jun'24</t>
  </si>
  <si>
    <t xml:space="preserve">Jul'24</t>
  </si>
  <si>
    <t xml:space="preserve">Aug'24</t>
  </si>
  <si>
    <t xml:space="preserve">Sep'24</t>
  </si>
  <si>
    <t xml:space="preserve">Oct'24</t>
  </si>
  <si>
    <t xml:space="preserve">Nov'24</t>
  </si>
  <si>
    <t xml:space="preserve">Dec'24</t>
  </si>
  <si>
    <t xml:space="preserve">Jan'25</t>
  </si>
  <si>
    <t xml:space="preserve">Feb'25</t>
  </si>
  <si>
    <t xml:space="preserve">Mar'25</t>
  </si>
  <si>
    <t xml:space="preserve">Apr'25</t>
  </si>
  <si>
    <t xml:space="preserve">May'25</t>
  </si>
  <si>
    <t xml:space="preserve">Jun'25</t>
  </si>
  <si>
    <t xml:space="preserve">Jul'25</t>
  </si>
  <si>
    <t xml:space="preserve">Aug'25</t>
  </si>
  <si>
    <t xml:space="preserve">Sep'25</t>
  </si>
  <si>
    <t xml:space="preserve">Oct'25</t>
  </si>
  <si>
    <t xml:space="preserve">Table 1.1.  Total user count by fellow - Total (Student and teachers)</t>
  </si>
  <si>
    <t xml:space="preserve">Name</t>
  </si>
  <si>
    <t xml:space="preserve">April 2023</t>
  </si>
  <si>
    <t xml:space="preserve">May 2023</t>
  </si>
  <si>
    <t xml:space="preserve">June 2023</t>
  </si>
  <si>
    <t xml:space="preserve">July 2023</t>
  </si>
  <si>
    <t xml:space="preserve">August 2023</t>
  </si>
  <si>
    <t xml:space="preserve">September 2023</t>
  </si>
  <si>
    <t xml:space="preserve">October 2023</t>
  </si>
  <si>
    <t xml:space="preserve">November 2023 (Due 15 Feb 2024)</t>
  </si>
  <si>
    <t xml:space="preserve">December 2023 (Due 15 Feb 2024)</t>
  </si>
  <si>
    <t xml:space="preserve">January 2024 (Due 15 Feb 2024)</t>
  </si>
  <si>
    <t xml:space="preserve">February 2024 (Due 15 May 2024)</t>
  </si>
  <si>
    <t xml:space="preserve">March 2024 (Due 15 May 2024)</t>
  </si>
  <si>
    <t xml:space="preserve">April 2024 (Due 15 May 2024)</t>
  </si>
  <si>
    <t xml:space="preserve">May 2024 (Due 15 Aug 2024)</t>
  </si>
  <si>
    <t xml:space="preserve">June 2024 (Due 15 Aug 2024)</t>
  </si>
  <si>
    <t xml:space="preserve">July 2024 (Due 15 Aug 2024)</t>
  </si>
  <si>
    <t xml:space="preserve">August 2024 (Due 15 Nov 2024)</t>
  </si>
  <si>
    <t xml:space="preserve">September 2024 (Due 15 Nov 2024)</t>
  </si>
  <si>
    <t xml:space="preserve">October 2024 (Due 15 Nov 2024)</t>
  </si>
  <si>
    <t xml:space="preserve">November 2024 (Due 15 Feb 2025)</t>
  </si>
  <si>
    <t xml:space="preserve">December 2024 (Due 15 Feb 2025)</t>
  </si>
  <si>
    <t xml:space="preserve">January 2025 (Due 15 Feb 2025)</t>
  </si>
  <si>
    <t xml:space="preserve">February 2025 (Due 15 May 2025)</t>
  </si>
  <si>
    <t xml:space="preserve">March 2025 (Due 15 May 2025)</t>
  </si>
  <si>
    <t xml:space="preserve">April 2025 (Due 15 May 2025)</t>
  </si>
  <si>
    <t xml:space="preserve">May 2025 (Due 15 Aug 2025)</t>
  </si>
  <si>
    <t xml:space="preserve">June 2025 (Due 15 Aug 2025)</t>
  </si>
  <si>
    <t xml:space="preserve">July 2025 (Due 15 Aug 2025)</t>
  </si>
  <si>
    <t xml:space="preserve">August 2025 (Due 15 Nov 2025)</t>
  </si>
  <si>
    <t xml:space="preserve">September 2025 (Due 15 Nov 2025)</t>
  </si>
  <si>
    <t xml:space="preserve">October 2025 (Due 15 Nov 2025)</t>
  </si>
  <si>
    <t xml:space="preserve">Afrika Tikkun Bambanani</t>
  </si>
  <si>
    <t xml:space="preserve">Ambani Africa</t>
  </si>
  <si>
    <t xml:space="preserve">Buzz Kidz</t>
  </si>
  <si>
    <t xml:space="preserve">Click Learning</t>
  </si>
  <si>
    <t xml:space="preserve">Code4Kids</t>
  </si>
  <si>
    <t xml:space="preserve">Digify Africa</t>
  </si>
  <si>
    <t xml:space="preserve">FunDza Literacy Trust</t>
  </si>
  <si>
    <t xml:space="preserve">Inactive</t>
  </si>
  <si>
    <t xml:space="preserve">Matric Live</t>
  </si>
  <si>
    <t xml:space="preserve">Reflective Learning</t>
  </si>
  <si>
    <t xml:space="preserve">Resolute Robotics</t>
  </si>
  <si>
    <t xml:space="preserve">Yenza</t>
  </si>
  <si>
    <t xml:space="preserve">Zaio</t>
  </si>
  <si>
    <t xml:space="preserve">Total (All Ventures incl. FunDza)</t>
  </si>
  <si>
    <t xml:space="preserve">Total (Excl. FunDza — Inactive)</t>
  </si>
  <si>
    <t xml:space="preserve">  LEGEND:  🟡 Yellow = Value corrected from Airtable extract (teachers missing)  | 🔵 Light blue = Apr–Aug'23 (pre-reporting period, zeroed)  | 🔴 Light red = Missed submission (venture reported 0)  | White = Matches extract ✓</t>
  </si>
  <si>
    <t xml:space="preserve">EXACT CHANGE LOG — Every Cell Changed from Airtable Extract → Reference Table</t>
  </si>
  <si>
    <t xml:space="preserve">Total changes: 179 cells across 12 ventures. Yellow = value increased (reference &gt; extract). Blue = value decreased (reference &lt; extract). Grey = pre-reporting period (Apr–Aug'23, both show 0).</t>
  </si>
  <si>
    <t xml:space="preserve">#</t>
  </si>
  <si>
    <t xml:space="preserve">Venture Name</t>
  </si>
  <si>
    <t xml:space="preserve">Col #</t>
  </si>
  <si>
    <t xml:space="preserve">Month</t>
  </si>
  <si>
    <t xml:space="preserve">Month (Full)</t>
  </si>
  <si>
    <t xml:space="preserve">Old Value
(Airtable Extract)</t>
  </si>
  <si>
    <t xml:space="preserve">New Value
(Reference Table)</t>
  </si>
  <si>
    <t xml:space="preserve">Difference
(New − Old)</t>
  </si>
  <si>
    <t xml:space="preserve">Root Cause</t>
  </si>
  <si>
    <t xml:space="preserve">Missing educator count in padded engine series; reference zeroes Dec'23 (no submission); engine forward-fills</t>
  </si>
  <si>
    <t xml:space="preserve">November 2023</t>
  </si>
  <si>
    <t xml:space="preserve">December 2023</t>
  </si>
  <si>
    <t xml:space="preserve">January 2024</t>
  </si>
  <si>
    <t xml:space="preserve">February 2024</t>
  </si>
  <si>
    <t xml:space="preserve">March 2024</t>
  </si>
  <si>
    <t xml:space="preserve">April 2024</t>
  </si>
  <si>
    <t xml:space="preserve">May 2024</t>
  </si>
  <si>
    <t xml:space="preserve">June 2024</t>
  </si>
  <si>
    <t xml:space="preserve">July 2024</t>
  </si>
  <si>
    <t xml:space="preserve">August 2024</t>
  </si>
  <si>
    <t xml:space="preserve">September 2024</t>
  </si>
  <si>
    <t xml:space="preserve">October 2024</t>
  </si>
  <si>
    <t xml:space="preserve">Reference table uses student count only for Ambani; engine adds 30 educators that reference excludes — minor reversal difference</t>
  </si>
  <si>
    <t xml:space="preserve">August 2025</t>
  </si>
  <si>
    <t xml:space="preserve">September 2025</t>
  </si>
  <si>
    <t xml:space="preserve">October 2025</t>
  </si>
  <si>
    <t xml:space="preserve">Teacher subscribers (Total Subscribers Teachers) missing from Airtable export for Nov'23–Oct'24 period</t>
  </si>
  <si>
    <t xml:space="preserve">November 2024</t>
  </si>
  <si>
    <t xml:space="preserve">December 2024</t>
  </si>
  <si>
    <t xml:space="preserve">January 2025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</si>
  <si>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</si>
  <si>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</si>
  <si>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</si>
  <si>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</si>
  <si>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</si>
  <si>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</si>
  <si>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Teacher subscribers (Total Subscribers Teachers) missing from Airtable export from Aug'24 onwards</t>
  </si>
  <si>
    <t xml:space="preserve">Teacher subscribers (Total Subscribers Teachers) missing from Airtable export — teachers column = 0 in extract but reference includes educator count</t>
  </si>
  <si>
    <t xml:space="preserve">Reference zeroes Dec'23 (missed submission); engine forward-fills</t>
  </si>
  <si>
    <t xml:space="preserve">CHANGE SUMMARY BY VENTURE</t>
  </si>
  <si>
    <t xml:space="preserve">Venture</t>
  </si>
  <si>
    <t xml:space="preserve">Changed Cells</t>
  </si>
  <si>
    <t xml:space="preserve">Total Old (Extract)</t>
  </si>
  <si>
    <t xml:space="preserve">Total New (Ref)</t>
  </si>
  <si>
    <t xml:space="preserve">Net Change</t>
  </si>
  <si>
    <t xml:space="preserve">Max Single Diff</t>
  </si>
  <si>
    <t xml:space="preserve">Direction</t>
  </si>
  <si>
    <t xml:space="preserve">Root Cause (Short)</t>
  </si>
  <si>
    <t xml:space="preserve">▼ Ref &lt; Extract</t>
  </si>
  <si>
    <t xml:space="preserve">Dec'23 missed submission; engine forward-fills</t>
  </si>
  <si>
    <t xml:space="preserve">Engine adds teachers; reference excludes them</t>
  </si>
  <si>
    <t xml:space="preserve">Teachers = 0 in extract (Nov'23–Oct'24)</t>
  </si>
  <si>
    <t xml:space="preserve">Teachers = 0 in extract (Aug'24–Oct'25)</t>
  </si>
  <si>
    <t xml:space="preserve">▲ Ref &gt; Extract</t>
  </si>
  <si>
    <t xml:space="preserve">Teachers column wiped from export (Nov'23→latest)</t>
  </si>
  <si>
    <t xml:space="preserve">BEFORE vs AFTER — Dashboard KPI Value (Oct 2025 / Latest Month)</t>
  </si>
  <si>
    <t xml:space="preserve">'Before' = value from Airtable extract (what the engine currently computes as the latest KPI). 'After' = corrected reference table value. Red = large error. Amber = moderate. Green = match.</t>
  </si>
  <si>
    <t xml:space="preserve">BEFORE
(Airtable Extract)</t>
  </si>
  <si>
    <t xml:space="preserve">AFTER
(Reference / Corrected)</t>
  </si>
  <si>
    <t xml:space="preserve">Difference
(After − Before)</t>
  </si>
  <si>
    <t xml:space="preserve">COHORT 1 TOTAL</t>
  </si>
  <si>
    <t xml:space="preserve">ROOT CAUSE DETAILS</t>
  </si>
  <si>
    <t xml:space="preserve">CRITICAL — +465,717</t>
  </si>
  <si>
    <t xml:space="preserve">Total Subscribers Teachers = 0 in Airtable export from Nov'23 through Oct'25 (partially). The reference table retains the educator count (~257K–480K educators) that didn't export. Action: Re-export the 'Total Subscribers Teachers' field from Airtable for Digify Africa. This single venture accounts for 99% of total reach discrepancy.</t>
  </si>
  <si>
    <t xml:space="preserve">Moderate — +2,586</t>
  </si>
  <si>
    <t xml:space="preserve">Total Subscribers Teachers = 0 in extract for Nov'23–Oct'24 (13 months). From Nov'24 onwards teachers reappear but at lower values than reference. Missing ~1,400–2,600 educators per month.</t>
  </si>
  <si>
    <t xml:space="preserve">Moderate — +1,249</t>
  </si>
  <si>
    <t xml:space="preserve">Total Subscribers Teachers = 0 from Aug'24–Oct'25 in the extract. Reference includes ~1,249 educators in the latest month. Action: Re-export teacher subscriber data for Code4Kids.</t>
  </si>
  <si>
    <t xml:space="preserve">Minor — +106</t>
  </si>
  <si>
    <t xml:space="preserve">Total Subscribers Teachers = 0 for Nov'23–Oct'24. From Nov'24 teachers partially reappear (50–320). Oct'25: extract=8,357, reference=8,463. Diff=106 educators.</t>
  </si>
  <si>
    <t xml:space="preserve">Minor — −30 (reverse)</t>
  </si>
  <si>
    <t xml:space="preserve">Reference table shows 1,464 (students only). Engine adds 30 teachers = 1,494. Reference appears to exclude Ambani's teacher count from the total reach figure. Check: should Ambani Africa educator count be included in cohort reach?</t>
  </si>
  <si>
    <t xml:space="preserve">Forward-fill artefact — Dec'23</t>
  </si>
  <si>
    <t xml:space="preserve">Dec'23 = 0 in reference (venture missed submission that month). Engine forward-fills from Nov'23 (15,000), showing value when none was submitted. Also: educator count disappears from extract after Oct'23, reducing monthly total vs reference.</t>
  </si>
  <si>
    <t xml:space="preserve">Dec'23 = 0 in reference (venture missed submission). Engine forward-fills from Nov'23 (414,941). Reference correctly shows 0 for that month.</t>
  </si>
  <si>
    <t xml:space="preserve">DATA FIX ACTION ITEMS — Steps to Correct Airtable Export &amp; Logic Engine</t>
  </si>
  <si>
    <t xml:space="preserve">Priority</t>
  </si>
  <si>
    <t xml:space="preserve">Action</t>
  </si>
  <si>
    <t xml:space="preserve">Description</t>
  </si>
  <si>
    <t xml:space="preserve">Data Source</t>
  </si>
  <si>
    <t xml:space="preserve">1</t>
  </si>
  <si>
    <t xml:space="preserve">🔴 CRITICAL</t>
  </si>
  <si>
    <t xml:space="preserve">Re-export Airtable data</t>
  </si>
  <si>
    <t xml:space="preserve">Re-run the Airtable export ensuring 'Total Subscribers Teachers' field is included. From Nov'23–Oct'24, this column is 0 in the extract but should contain ~257K–300K educators. Impact: fixes +465,717 gap at Oct'25 — largest single discrepancy.</t>
  </si>
  <si>
    <t xml:space="preserve">Airtable export settings / field visibility</t>
  </si>
  <si>
    <t xml:space="preserve">2</t>
  </si>
  <si>
    <t xml:space="preserve">🟠 MODERATE</t>
  </si>
  <si>
    <t xml:space="preserve">Re-export teacher field</t>
  </si>
  <si>
    <t xml:space="preserve">Total Subscribers Teachers = 0 from Nov'23–Oct'24 in extract. Check Airtable view/export configuration for this venture's educator column.</t>
  </si>
  <si>
    <t xml:space="preserve">Airtable export</t>
  </si>
  <si>
    <t xml:space="preserve">3</t>
  </si>
  <si>
    <t xml:space="preserve">Total Subscribers Teachers = 0 from Aug'24–Oct'25 in extract. Re-export with teacher field included.</t>
  </si>
  <si>
    <t xml:space="preserve">4</t>
  </si>
  <si>
    <t xml:space="preserve">🟡 MINOR</t>
  </si>
  <si>
    <t xml:space="preserve">Total Subscribers Teachers = 0 for Nov'23–Oct'24. Small impact (106 educators). Re-export to confirm correct values.</t>
  </si>
  <si>
    <t xml:space="preserve">5</t>
  </si>
  <si>
    <t xml:space="preserve">Clarify business rule</t>
  </si>
  <si>
    <t xml:space="preserve">Reference excludes Ambani's 30 educators from total reach; engine includes them. Decide: should educator subscribers be counted in Ambani reach total? If yes → reference needs update. If no → exclude teachers from engine for Ambani.</t>
  </si>
  <si>
    <t xml:space="preserve">Business logic decision</t>
  </si>
  <si>
    <t xml:space="preserve">6</t>
  </si>
  <si>
    <t xml:space="preserve">ℹ️ INFO</t>
  </si>
  <si>
    <t xml:space="preserve">Verify Dec'23 zero</t>
  </si>
  <si>
    <t xml:space="preserve">Dec'23 shows 0 in reference (missed submission). Engine forward-fills. Confirm: was Dec'23 actually not submitted? If so, engine's forward-fill should be suppressed for this month.</t>
  </si>
  <si>
    <t xml:space="preserve">Submission records</t>
  </si>
  <si>
    <t xml:space="preserve">7</t>
  </si>
  <si>
    <t xml:space="preserve">Same as Afrika Tikkun — Dec'23 = 0 (missed submission). Confirm the month was not reported.</t>
  </si>
  <si>
    <t xml:space="preserve">8</t>
  </si>
  <si>
    <t xml:space="preserve">Apr–Aug 2023 (All)</t>
  </si>
  <si>
    <t xml:space="preserve">Pre-reporting period</t>
  </si>
  <si>
    <t xml:space="preserve">Reference zeroes out months 1–5 (Apr–Aug'23). Engine has actual values from raw Airtable for some ventures. Align engine to show 0 for pre-reporting period months to match reference convention.</t>
  </si>
  <si>
    <t xml:space="preserve">Logic engine config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</si>
</sst>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#,##0;\-#,##0;0"/>
    <numFmt numFmtId="167" formatCode="\+#,##0;\-#,##0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8"/>
      <color rgb="FFAAAAA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F4F00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4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sz val="10"/>
      <color rgb="FF70AD47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5FB"/>
      </patternFill>
    </fill>
    <fill>
      <patternFill patternType="solid">
        <fgColor rgb="FFDDEEFF"/>
        <bgColor rgb="FFEBF5FB"/>
      </patternFill>
    </fill>
    <fill>
      <patternFill patternType="solid">
        <fgColor rgb="FFFFE699"/>
        <bgColor rgb="FFFFF2CC"/>
      </patternFill>
    </fill>
    <fill>
      <patternFill patternType="solid">
        <fgColor rgb="FFFFEEEE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3CD"/>
      </patternFill>
    </fill>
    <fill>
      <patternFill patternType="solid">
        <fgColor rgb="FFEBF5FB"/>
        <bgColor rgb="FFF2F2F2"/>
      </patternFill>
    </fill>
    <fill>
      <patternFill patternType="solid">
        <fgColor rgb="FFCCE5FF"/>
        <bgColor rgb="FFDDEEFF"/>
      </patternFill>
    </fill>
    <fill>
      <patternFill patternType="solid">
        <fgColor rgb="FF00B0A0"/>
        <bgColor rgb="FF33CCCC"/>
      </patternFill>
    </fill>
    <fill>
      <patternFill patternType="solid">
        <fgColor rgb="FFC6EFCE"/>
        <bgColor rgb="FFCCE5FF"/>
      </patternFill>
    </fill>
    <fill>
      <patternFill patternType="solid">
        <fgColor rgb="FFFFF3CD"/>
        <bgColor rgb="FFFFF2CC"/>
      </patternFill>
    </fill>
    <fill>
      <patternFill patternType="solid">
        <fgColor rgb="FFFFCCCC"/>
        <bgColor rgb="FFFFE699"/>
      </patternFill>
    </fill>
    <fill>
      <patternFill patternType="solid">
        <fgColor rgb="FFBDD7EE"/>
        <bgColor rgb="FFCCE5FF"/>
      </patternFill>
    </fill>
    <fill>
      <patternFill patternType="solid">
        <fgColor rgb="FFFFFACD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ACD"/>
      <rgbColor rgb="FFDDEEFF"/>
      <rgbColor rgb="FF660066"/>
      <rgbColor rgb="FFFF8080"/>
      <rgbColor rgb="FF0066CC"/>
      <rgbColor rgb="FFBDD7EE"/>
      <rgbColor rgb="FF000080"/>
      <rgbColor rgb="FFFF00FF"/>
      <rgbColor rgb="FFFFF3CD"/>
      <rgbColor rgb="FF00FFFF"/>
      <rgbColor rgb="FF800080"/>
      <rgbColor rgb="FF800000"/>
      <rgbColor rgb="FF008080"/>
      <rgbColor rgb="FF0000FF"/>
      <rgbColor rgb="FF00B0A0"/>
      <rgbColor rgb="FFEBF5FB"/>
      <rgbColor rgb="FFC6EFCE"/>
      <rgbColor rgb="FFFFE699"/>
      <rgbColor rgb="FFCCE5FF"/>
      <rgbColor rgb="FFFFEEEE"/>
      <rgbColor rgb="FFF2F2F2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70AD47"/>
      <rgbColor rgb="FF003300"/>
      <rgbColor rgb="FF333300"/>
      <rgbColor rgb="FF7F4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3" min="3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8" hidden="false" customHeight="true" outlineLevel="0" collapsed="false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</row>
    <row r="3" customFormat="false" ht="19.5" hidden="false" customHeight="true" outlineLevel="0" collapsed="false">
      <c r="A3" s="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15.75" hidden="false" customHeight="true" outlineLevel="0" collapsed="false"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 t="n">
        <v>11</v>
      </c>
      <c r="N4" s="4" t="n">
        <v>12</v>
      </c>
      <c r="O4" s="4" t="n">
        <v>13</v>
      </c>
      <c r="P4" s="4" t="n">
        <v>14</v>
      </c>
      <c r="Q4" s="4" t="n">
        <v>15</v>
      </c>
      <c r="R4" s="4" t="n">
        <v>16</v>
      </c>
      <c r="S4" s="4" t="n">
        <v>17</v>
      </c>
      <c r="T4" s="4" t="n">
        <v>18</v>
      </c>
      <c r="U4" s="4" t="n">
        <v>19</v>
      </c>
      <c r="V4" s="4" t="n">
        <v>20</v>
      </c>
      <c r="W4" s="4" t="n">
        <v>21</v>
      </c>
      <c r="X4" s="4" t="n">
        <v>22</v>
      </c>
      <c r="Y4" s="4" t="n">
        <v>23</v>
      </c>
      <c r="Z4" s="4" t="n">
        <v>24</v>
      </c>
      <c r="AA4" s="4" t="n">
        <v>25</v>
      </c>
      <c r="AB4" s="4" t="n">
        <v>26</v>
      </c>
      <c r="AC4" s="4" t="n">
        <v>27</v>
      </c>
      <c r="AD4" s="4" t="n">
        <v>28</v>
      </c>
      <c r="AE4" s="4" t="n">
        <v>29</v>
      </c>
      <c r="AF4" s="4" t="n">
        <v>30</v>
      </c>
      <c r="AG4" s="4" t="n">
        <v>31</v>
      </c>
    </row>
    <row r="5" customFormat="false" ht="36" hidden="false" customHeight="true" outlineLevel="0" collapsed="false">
      <c r="A5" s="5" t="s">
        <v>33</v>
      </c>
      <c r="B5" s="6"/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52</v>
      </c>
      <c r="V5" s="7" t="s">
        <v>53</v>
      </c>
      <c r="W5" s="7" t="s">
        <v>54</v>
      </c>
      <c r="X5" s="7" t="s">
        <v>55</v>
      </c>
      <c r="Y5" s="7" t="s">
        <v>56</v>
      </c>
      <c r="Z5" s="7" t="s">
        <v>57</v>
      </c>
      <c r="AA5" s="7" t="s">
        <v>58</v>
      </c>
      <c r="AB5" s="7" t="s">
        <v>59</v>
      </c>
      <c r="AC5" s="7" t="s">
        <v>60</v>
      </c>
      <c r="AD5" s="7" t="s">
        <v>61</v>
      </c>
      <c r="AE5" s="7" t="s">
        <v>62</v>
      </c>
      <c r="AF5" s="7" t="s">
        <v>63</v>
      </c>
      <c r="AG5" s="7" t="s">
        <v>64</v>
      </c>
    </row>
    <row r="6" customFormat="false" ht="18" hidden="false" customHeight="true" outlineLevel="0" collapsed="false">
      <c r="A6" s="8" t="s">
        <v>65</v>
      </c>
      <c r="B6" s="9"/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1" t="n">
        <v>10607</v>
      </c>
      <c r="I6" s="11" t="n">
        <v>10607</v>
      </c>
      <c r="J6" s="12" t="n">
        <v>16250</v>
      </c>
      <c r="K6" s="13" t="n">
        <v>0</v>
      </c>
      <c r="L6" s="12" t="n">
        <v>20005</v>
      </c>
      <c r="M6" s="12" t="n">
        <v>21898</v>
      </c>
      <c r="N6" s="12" t="n">
        <v>21898</v>
      </c>
      <c r="O6" s="12" t="n">
        <v>21898</v>
      </c>
      <c r="P6" s="12" t="n">
        <v>24039</v>
      </c>
      <c r="Q6" s="12" t="n">
        <v>24039</v>
      </c>
      <c r="R6" s="12" t="n">
        <v>24039</v>
      </c>
      <c r="S6" s="12" t="n">
        <v>24039</v>
      </c>
      <c r="T6" s="12" t="n">
        <v>24039</v>
      </c>
      <c r="U6" s="12" t="n">
        <v>24039</v>
      </c>
      <c r="V6" s="11" t="n">
        <v>24039</v>
      </c>
      <c r="W6" s="11" t="n">
        <v>24039</v>
      </c>
      <c r="X6" s="11" t="n">
        <v>13403</v>
      </c>
      <c r="Y6" s="11" t="n">
        <v>17110</v>
      </c>
      <c r="Z6" s="11" t="n">
        <v>18959</v>
      </c>
      <c r="AA6" s="11" t="n">
        <v>19949</v>
      </c>
      <c r="AB6" s="11" t="n">
        <v>19949</v>
      </c>
      <c r="AC6" s="11" t="n">
        <v>28207</v>
      </c>
      <c r="AD6" s="11" t="n">
        <v>28207</v>
      </c>
      <c r="AE6" s="11" t="n">
        <v>28325</v>
      </c>
      <c r="AF6" s="11" t="n">
        <v>28125</v>
      </c>
      <c r="AG6" s="11" t="n">
        <v>29639</v>
      </c>
    </row>
    <row r="7" customFormat="false" ht="18" hidden="false" customHeight="true" outlineLevel="0" collapsed="false">
      <c r="A7" s="14" t="s">
        <v>66</v>
      </c>
      <c r="B7" s="15"/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6" t="n">
        <v>12656</v>
      </c>
      <c r="I7" s="16" t="n">
        <v>12821</v>
      </c>
      <c r="J7" s="16" t="n">
        <v>13168</v>
      </c>
      <c r="K7" s="16" t="n">
        <v>13423</v>
      </c>
      <c r="L7" s="12" t="n">
        <v>13612</v>
      </c>
      <c r="M7" s="12" t="n">
        <v>13476</v>
      </c>
      <c r="N7" s="12" t="n">
        <v>13166</v>
      </c>
      <c r="O7" s="12" t="n">
        <v>13040</v>
      </c>
      <c r="P7" s="12" t="n">
        <v>13020</v>
      </c>
      <c r="Q7" s="12" t="n">
        <v>12902</v>
      </c>
      <c r="R7" s="12" t="n">
        <v>12589</v>
      </c>
      <c r="S7" s="12" t="n">
        <v>5923</v>
      </c>
      <c r="T7" s="12" t="n">
        <v>6123</v>
      </c>
      <c r="U7" s="12" t="n">
        <v>6325</v>
      </c>
      <c r="V7" s="16" t="n">
        <v>6225</v>
      </c>
      <c r="W7" s="16" t="n">
        <v>4010</v>
      </c>
      <c r="X7" s="16" t="n">
        <v>4116</v>
      </c>
      <c r="Y7" s="16" t="n">
        <v>16</v>
      </c>
      <c r="Z7" s="16" t="n">
        <v>16</v>
      </c>
      <c r="AA7" s="16" t="n">
        <v>1111</v>
      </c>
      <c r="AB7" s="16" t="n">
        <v>1136</v>
      </c>
      <c r="AC7" s="16" t="n">
        <v>1273</v>
      </c>
      <c r="AD7" s="16" t="n">
        <v>1392</v>
      </c>
      <c r="AE7" s="12" t="n">
        <v>1400</v>
      </c>
      <c r="AF7" s="12" t="n">
        <v>1436</v>
      </c>
      <c r="AG7" s="12" t="n">
        <v>1464</v>
      </c>
    </row>
    <row r="8" customFormat="false" ht="18" hidden="false" customHeight="true" outlineLevel="0" collapsed="false">
      <c r="A8" s="8" t="s">
        <v>67</v>
      </c>
      <c r="B8" s="9"/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1" t="n">
        <v>2102</v>
      </c>
      <c r="I8" s="11" t="n">
        <v>2798</v>
      </c>
      <c r="J8" s="12" t="n">
        <v>2821</v>
      </c>
      <c r="K8" s="12" t="n">
        <v>2832</v>
      </c>
      <c r="L8" s="12" t="n">
        <v>2638</v>
      </c>
      <c r="M8" s="12" t="n">
        <v>2969</v>
      </c>
      <c r="N8" s="12" t="n">
        <v>3013</v>
      </c>
      <c r="O8" s="12" t="n">
        <v>3040</v>
      </c>
      <c r="P8" s="12" t="n">
        <v>3048</v>
      </c>
      <c r="Q8" s="12" t="n">
        <v>3051</v>
      </c>
      <c r="R8" s="12" t="n">
        <v>3061</v>
      </c>
      <c r="S8" s="12" t="n">
        <v>3109</v>
      </c>
      <c r="T8" s="12" t="n">
        <v>3104</v>
      </c>
      <c r="U8" s="12" t="n">
        <v>3268</v>
      </c>
      <c r="V8" s="12" t="n">
        <v>3268</v>
      </c>
      <c r="W8" s="12" t="n">
        <v>3273</v>
      </c>
      <c r="X8" s="12" t="n">
        <v>8268</v>
      </c>
      <c r="Y8" s="12" t="n">
        <v>8404</v>
      </c>
      <c r="Z8" s="12" t="n">
        <v>8461</v>
      </c>
      <c r="AA8" s="12" t="n">
        <v>8454</v>
      </c>
      <c r="AB8" s="12" t="n">
        <v>8445</v>
      </c>
      <c r="AC8" s="12" t="n">
        <v>8470</v>
      </c>
      <c r="AD8" s="12" t="n">
        <v>8446</v>
      </c>
      <c r="AE8" s="12" t="n">
        <v>8434</v>
      </c>
      <c r="AF8" s="12" t="n">
        <v>8461</v>
      </c>
      <c r="AG8" s="12" t="n">
        <v>8463</v>
      </c>
    </row>
    <row r="9" customFormat="false" ht="18" hidden="false" customHeight="true" outlineLevel="0" collapsed="false">
      <c r="A9" s="14" t="s">
        <v>68</v>
      </c>
      <c r="B9" s="15"/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6" t="n">
        <v>226670</v>
      </c>
      <c r="I9" s="16" t="n">
        <v>226511</v>
      </c>
      <c r="J9" s="16" t="n">
        <v>226411</v>
      </c>
      <c r="K9" s="16" t="n">
        <v>226574</v>
      </c>
      <c r="L9" s="16" t="n">
        <v>208792</v>
      </c>
      <c r="M9" s="16" t="n">
        <v>261026</v>
      </c>
      <c r="N9" s="16" t="n">
        <v>261026</v>
      </c>
      <c r="O9" s="16" t="n">
        <v>261026</v>
      </c>
      <c r="P9" s="16" t="n">
        <v>291974</v>
      </c>
      <c r="Q9" s="16" t="n">
        <v>291794</v>
      </c>
      <c r="R9" s="16" t="n">
        <v>291794</v>
      </c>
      <c r="S9" s="16" t="n">
        <v>284025</v>
      </c>
      <c r="T9" s="16" t="n">
        <v>278402</v>
      </c>
      <c r="U9" s="16" t="n">
        <v>277155</v>
      </c>
      <c r="V9" s="16" t="n">
        <v>266520</v>
      </c>
      <c r="W9" s="16" t="n">
        <v>265989</v>
      </c>
      <c r="X9" s="16" t="n">
        <v>265989</v>
      </c>
      <c r="Y9" s="16" t="n">
        <v>256176</v>
      </c>
      <c r="Z9" s="16" t="n">
        <v>298860</v>
      </c>
      <c r="AA9" s="16" t="n">
        <v>300059</v>
      </c>
      <c r="AB9" s="16" t="n">
        <v>310462</v>
      </c>
      <c r="AC9" s="16" t="n">
        <v>310251</v>
      </c>
      <c r="AD9" s="16" t="n">
        <v>310571</v>
      </c>
      <c r="AE9" s="16" t="n">
        <v>309748</v>
      </c>
      <c r="AF9" s="16" t="n">
        <v>308564</v>
      </c>
      <c r="AG9" s="16" t="n">
        <v>306952</v>
      </c>
    </row>
    <row r="10" customFormat="false" ht="18" hidden="false" customHeight="true" outlineLevel="0" collapsed="false">
      <c r="A10" s="8" t="s">
        <v>69</v>
      </c>
      <c r="B10" s="9"/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1" t="n">
        <v>12155</v>
      </c>
      <c r="I10" s="11" t="n">
        <v>12155</v>
      </c>
      <c r="J10" s="12" t="n">
        <v>12155</v>
      </c>
      <c r="K10" s="12" t="n">
        <v>12155</v>
      </c>
      <c r="L10" s="12" t="n">
        <v>6418</v>
      </c>
      <c r="M10" s="12" t="n">
        <v>9642</v>
      </c>
      <c r="N10" s="12" t="n">
        <v>10684</v>
      </c>
      <c r="O10" s="12" t="n">
        <v>10946</v>
      </c>
      <c r="P10" s="12" t="n">
        <v>11000</v>
      </c>
      <c r="Q10" s="12" t="n">
        <v>11018</v>
      </c>
      <c r="R10" s="12" t="n">
        <v>11038</v>
      </c>
      <c r="S10" s="12" t="n">
        <v>5174</v>
      </c>
      <c r="T10" s="12" t="n">
        <v>7491</v>
      </c>
      <c r="U10" s="12" t="n">
        <v>13740</v>
      </c>
      <c r="V10" s="12" t="n">
        <v>14098</v>
      </c>
      <c r="W10" s="12" t="n">
        <v>14456</v>
      </c>
      <c r="X10" s="12" t="n">
        <v>14386</v>
      </c>
      <c r="Y10" s="11" t="n">
        <v>19577</v>
      </c>
      <c r="Z10" s="11" t="n">
        <v>24052</v>
      </c>
      <c r="AA10" s="11" t="n">
        <v>26000</v>
      </c>
      <c r="AB10" s="12" t="n">
        <v>28571</v>
      </c>
      <c r="AC10" s="12" t="n">
        <v>29071</v>
      </c>
      <c r="AD10" s="12" t="n">
        <v>29884</v>
      </c>
      <c r="AE10" s="12" t="n">
        <v>30946</v>
      </c>
      <c r="AF10" s="12" t="n">
        <v>31583</v>
      </c>
      <c r="AG10" s="12" t="n">
        <v>32122</v>
      </c>
    </row>
    <row r="11" customFormat="false" ht="18" hidden="false" customHeight="true" outlineLevel="0" collapsed="false">
      <c r="A11" s="14" t="s">
        <v>70</v>
      </c>
      <c r="B11" s="15"/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6" t="n">
        <v>411891</v>
      </c>
      <c r="I11" s="16" t="n">
        <v>406826</v>
      </c>
      <c r="J11" s="12" t="n">
        <v>514016</v>
      </c>
      <c r="K11" s="12" t="n">
        <v>514368</v>
      </c>
      <c r="L11" s="12" t="n">
        <v>514456</v>
      </c>
      <c r="M11" s="12" t="n">
        <v>601530</v>
      </c>
      <c r="N11" s="12" t="n">
        <v>602598</v>
      </c>
      <c r="O11" s="12" t="n">
        <v>603660</v>
      </c>
      <c r="P11" s="12" t="n">
        <v>607435</v>
      </c>
      <c r="Q11" s="12" t="n">
        <v>609209</v>
      </c>
      <c r="R11" s="12" t="n">
        <v>611285</v>
      </c>
      <c r="S11" s="12" t="n">
        <v>612545</v>
      </c>
      <c r="T11" s="12" t="n">
        <v>614553</v>
      </c>
      <c r="U11" s="12" t="n">
        <v>617285</v>
      </c>
      <c r="V11" s="12" t="n">
        <v>619770</v>
      </c>
      <c r="W11" s="12" t="n">
        <v>620656</v>
      </c>
      <c r="X11" s="12" t="n">
        <v>621824</v>
      </c>
      <c r="Y11" s="12" t="n">
        <v>623334</v>
      </c>
      <c r="Z11" s="12" t="n">
        <v>624468</v>
      </c>
      <c r="AA11" s="12" t="n">
        <v>625619</v>
      </c>
      <c r="AB11" s="12" t="n">
        <v>627361</v>
      </c>
      <c r="AC11" s="12" t="n">
        <v>654615</v>
      </c>
      <c r="AD11" s="12" t="n">
        <v>706382</v>
      </c>
      <c r="AE11" s="12" t="n">
        <v>758674</v>
      </c>
      <c r="AF11" s="12" t="n">
        <v>794886</v>
      </c>
      <c r="AG11" s="12" t="n">
        <v>823946</v>
      </c>
    </row>
    <row r="12" customFormat="false" ht="18" hidden="false" customHeight="true" outlineLevel="0" collapsed="false">
      <c r="A12" s="17" t="s">
        <v>71</v>
      </c>
      <c r="B12" s="18" t="s">
        <v>72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9" t="n">
        <v>169470</v>
      </c>
      <c r="I12" s="19" t="n">
        <v>169917</v>
      </c>
      <c r="J12" s="19" t="n">
        <v>170374</v>
      </c>
      <c r="K12" s="19" t="n">
        <v>170843</v>
      </c>
      <c r="L12" s="19" t="n">
        <v>171321</v>
      </c>
      <c r="M12" s="19" t="n">
        <v>171595</v>
      </c>
      <c r="N12" s="19" t="n">
        <v>171789</v>
      </c>
      <c r="O12" s="19" t="n">
        <v>172505</v>
      </c>
      <c r="P12" s="19" t="n">
        <v>173037</v>
      </c>
      <c r="Q12" s="19" t="n">
        <v>173582</v>
      </c>
      <c r="R12" s="19" t="n">
        <v>173944</v>
      </c>
      <c r="S12" s="19" t="n">
        <v>174585</v>
      </c>
      <c r="T12" s="19" t="n">
        <v>175930</v>
      </c>
      <c r="U12" s="19" t="n">
        <v>176979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</row>
    <row r="13" customFormat="false" ht="18" hidden="false" customHeight="true" outlineLevel="0" collapsed="false">
      <c r="A13" s="14" t="s">
        <v>73</v>
      </c>
      <c r="B13" s="15"/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6" t="n">
        <v>402686</v>
      </c>
      <c r="I13" s="16" t="n">
        <v>410524</v>
      </c>
      <c r="J13" s="16" t="n">
        <v>414941</v>
      </c>
      <c r="K13" s="13" t="n">
        <v>0</v>
      </c>
      <c r="L13" s="16" t="n">
        <v>422509</v>
      </c>
      <c r="M13" s="16" t="n">
        <v>433595</v>
      </c>
      <c r="N13" s="16" t="n">
        <v>440488</v>
      </c>
      <c r="O13" s="16" t="n">
        <v>447707</v>
      </c>
      <c r="P13" s="16" t="n">
        <v>455838</v>
      </c>
      <c r="Q13" s="16" t="n">
        <v>458850</v>
      </c>
      <c r="R13" s="16" t="n">
        <v>466610</v>
      </c>
      <c r="S13" s="16" t="n">
        <v>480869</v>
      </c>
      <c r="T13" s="16" t="n">
        <v>486361</v>
      </c>
      <c r="U13" s="16" t="n">
        <v>494889</v>
      </c>
      <c r="V13" s="16" t="n">
        <v>497941</v>
      </c>
      <c r="W13" s="16" t="n">
        <v>500993</v>
      </c>
      <c r="X13" s="16" t="n">
        <v>513184</v>
      </c>
      <c r="Y13" s="16" t="n">
        <v>524036</v>
      </c>
      <c r="Z13" s="16" t="n">
        <v>533327</v>
      </c>
      <c r="AA13" s="16" t="n">
        <v>542618</v>
      </c>
      <c r="AB13" s="16" t="n">
        <v>553625</v>
      </c>
      <c r="AC13" s="16" t="n">
        <v>558697</v>
      </c>
      <c r="AD13" s="16" t="n">
        <v>562131</v>
      </c>
      <c r="AE13" s="16" t="n">
        <v>567621</v>
      </c>
      <c r="AF13" s="16" t="n">
        <v>577861</v>
      </c>
      <c r="AG13" s="16" t="n">
        <v>583029</v>
      </c>
    </row>
    <row r="14" customFormat="false" ht="18" hidden="false" customHeight="true" outlineLevel="0" collapsed="false">
      <c r="A14" s="8" t="s">
        <v>74</v>
      </c>
      <c r="B14" s="9"/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1" t="n">
        <v>68461</v>
      </c>
      <c r="I14" s="11" t="n">
        <v>74756</v>
      </c>
      <c r="J14" s="11" t="n">
        <v>70326</v>
      </c>
      <c r="K14" s="11" t="n">
        <v>69963</v>
      </c>
      <c r="L14" s="11" t="n">
        <v>66819</v>
      </c>
      <c r="M14" s="11" t="n">
        <v>63445</v>
      </c>
      <c r="N14" s="11" t="n">
        <v>70818</v>
      </c>
      <c r="O14" s="11" t="n">
        <v>74025</v>
      </c>
      <c r="P14" s="11" t="n">
        <v>71487</v>
      </c>
      <c r="Q14" s="11" t="n">
        <v>72424</v>
      </c>
      <c r="R14" s="11" t="n">
        <v>75245</v>
      </c>
      <c r="S14" s="11" t="n">
        <v>73302</v>
      </c>
      <c r="T14" s="11" t="n">
        <v>73239</v>
      </c>
      <c r="U14" s="11" t="n">
        <v>73202</v>
      </c>
      <c r="V14" s="11" t="n">
        <v>72609</v>
      </c>
      <c r="W14" s="11" t="n">
        <v>72873</v>
      </c>
      <c r="X14" s="11" t="n">
        <v>79447</v>
      </c>
      <c r="Y14" s="11" t="n">
        <v>71387</v>
      </c>
      <c r="Z14" s="11" t="n">
        <v>60850</v>
      </c>
      <c r="AA14" s="11" t="n">
        <v>61733</v>
      </c>
      <c r="AB14" s="11" t="n">
        <v>59204</v>
      </c>
      <c r="AC14" s="11" t="n">
        <v>59759</v>
      </c>
      <c r="AD14" s="11" t="n">
        <v>59745</v>
      </c>
      <c r="AE14" s="11" t="n">
        <v>60856</v>
      </c>
      <c r="AF14" s="11" t="n">
        <v>61692</v>
      </c>
      <c r="AG14" s="11" t="n">
        <v>58475</v>
      </c>
    </row>
    <row r="15" customFormat="false" ht="18" hidden="false" customHeight="true" outlineLevel="0" collapsed="false">
      <c r="A15" s="14" t="s">
        <v>75</v>
      </c>
      <c r="B15" s="15"/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6" t="n">
        <v>34530</v>
      </c>
      <c r="I15" s="16" t="n">
        <v>34592</v>
      </c>
      <c r="J15" s="12" t="n">
        <v>34991</v>
      </c>
      <c r="K15" s="12" t="n">
        <v>35014</v>
      </c>
      <c r="L15" s="12" t="n">
        <v>54555</v>
      </c>
      <c r="M15" s="12" t="n">
        <v>65092</v>
      </c>
      <c r="N15" s="12" t="n">
        <v>67606</v>
      </c>
      <c r="O15" s="12" t="n">
        <v>73260</v>
      </c>
      <c r="P15" s="12" t="n">
        <v>77165</v>
      </c>
      <c r="Q15" s="12" t="n">
        <v>78371</v>
      </c>
      <c r="R15" s="12" t="n">
        <v>80945</v>
      </c>
      <c r="S15" s="12" t="n">
        <v>86693</v>
      </c>
      <c r="T15" s="12" t="n">
        <v>85335</v>
      </c>
      <c r="U15" s="12" t="n">
        <v>87438</v>
      </c>
      <c r="V15" s="12" t="n">
        <v>64545</v>
      </c>
      <c r="W15" s="12" t="n">
        <v>64955</v>
      </c>
      <c r="X15" s="12" t="n">
        <v>82704</v>
      </c>
      <c r="Y15" s="12" t="n">
        <v>78550</v>
      </c>
      <c r="Z15" s="12" t="n">
        <v>99675</v>
      </c>
      <c r="AA15" s="12" t="n">
        <v>108146</v>
      </c>
      <c r="AB15" s="12" t="n">
        <v>91799</v>
      </c>
      <c r="AC15" s="12" t="n">
        <v>96285</v>
      </c>
      <c r="AD15" s="12" t="n">
        <v>99724</v>
      </c>
      <c r="AE15" s="12" t="n">
        <v>99961</v>
      </c>
      <c r="AF15" s="12" t="n">
        <v>102320</v>
      </c>
      <c r="AG15" s="12" t="n">
        <v>103853</v>
      </c>
    </row>
    <row r="16" customFormat="false" ht="18" hidden="false" customHeight="true" outlineLevel="0" collapsed="false">
      <c r="A16" s="8" t="s">
        <v>76</v>
      </c>
      <c r="B16" s="9"/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1" t="n">
        <v>41804</v>
      </c>
      <c r="I16" s="11" t="n">
        <v>42256</v>
      </c>
      <c r="J16" s="11" t="n">
        <v>43365</v>
      </c>
      <c r="K16" s="11" t="n">
        <v>44828</v>
      </c>
      <c r="L16" s="11" t="n">
        <v>47654</v>
      </c>
      <c r="M16" s="11" t="n">
        <v>48964</v>
      </c>
      <c r="N16" s="11" t="n">
        <v>50282</v>
      </c>
      <c r="O16" s="11" t="n">
        <v>53066</v>
      </c>
      <c r="P16" s="11" t="n">
        <v>56345</v>
      </c>
      <c r="Q16" s="11" t="n">
        <v>58918</v>
      </c>
      <c r="R16" s="11" t="n">
        <v>66051</v>
      </c>
      <c r="S16" s="11" t="n">
        <v>69067</v>
      </c>
      <c r="T16" s="11" t="n">
        <v>70746</v>
      </c>
      <c r="U16" s="11" t="n">
        <v>71608</v>
      </c>
      <c r="V16" s="11" t="n">
        <v>72353</v>
      </c>
      <c r="W16" s="11" t="n">
        <v>72584</v>
      </c>
      <c r="X16" s="11" t="n">
        <v>76223</v>
      </c>
      <c r="Y16" s="11" t="n">
        <v>77154</v>
      </c>
      <c r="Z16" s="11" t="n">
        <v>79985</v>
      </c>
      <c r="AA16" s="11" t="n">
        <v>83394</v>
      </c>
      <c r="AB16" s="11" t="n">
        <v>89323</v>
      </c>
      <c r="AC16" s="11" t="n">
        <v>91724</v>
      </c>
      <c r="AD16" s="11" t="n">
        <v>93661</v>
      </c>
      <c r="AE16" s="11" t="n">
        <v>97013</v>
      </c>
      <c r="AF16" s="11" t="n">
        <v>100071</v>
      </c>
      <c r="AG16" s="11" t="n">
        <v>100938</v>
      </c>
    </row>
    <row r="17" customFormat="false" ht="18" hidden="false" customHeight="true" outlineLevel="0" collapsed="false">
      <c r="A17" s="14" t="s">
        <v>77</v>
      </c>
      <c r="B17" s="15"/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6" t="n">
        <v>41166</v>
      </c>
      <c r="I17" s="16" t="n">
        <v>42254</v>
      </c>
      <c r="J17" s="16" t="n">
        <v>45645</v>
      </c>
      <c r="K17" s="16" t="n">
        <v>53463</v>
      </c>
      <c r="L17" s="16" t="n">
        <v>56281</v>
      </c>
      <c r="M17" s="16" t="n">
        <v>58909</v>
      </c>
      <c r="N17" s="16" t="n">
        <v>59199</v>
      </c>
      <c r="O17" s="16" t="n">
        <v>61015</v>
      </c>
      <c r="P17" s="16" t="n">
        <v>67823</v>
      </c>
      <c r="Q17" s="16" t="n">
        <v>68469</v>
      </c>
      <c r="R17" s="16" t="n">
        <v>74442</v>
      </c>
      <c r="S17" s="16" t="n">
        <v>97291</v>
      </c>
      <c r="T17" s="16" t="n">
        <v>122931</v>
      </c>
      <c r="U17" s="16" t="n">
        <v>151670</v>
      </c>
      <c r="V17" s="16" t="n">
        <v>7698</v>
      </c>
      <c r="W17" s="16" t="n">
        <v>7824</v>
      </c>
      <c r="X17" s="16" t="n">
        <v>8757</v>
      </c>
      <c r="Y17" s="16" t="n">
        <v>9548</v>
      </c>
      <c r="Z17" s="16" t="n">
        <v>10176</v>
      </c>
      <c r="AA17" s="16" t="n">
        <v>10889</v>
      </c>
      <c r="AB17" s="16" t="n">
        <v>37</v>
      </c>
      <c r="AC17" s="16" t="n">
        <v>19</v>
      </c>
      <c r="AD17" s="16" t="n">
        <v>13</v>
      </c>
      <c r="AE17" s="16" t="n">
        <v>34</v>
      </c>
      <c r="AF17" s="16" t="n">
        <v>1139</v>
      </c>
      <c r="AG17" s="16" t="n">
        <v>2000</v>
      </c>
    </row>
    <row r="18" customFormat="false" ht="19.5" hidden="false" customHeight="true" outlineLevel="0" collapsed="false">
      <c r="A18" s="20" t="s">
        <v>78</v>
      </c>
      <c r="B18" s="6"/>
      <c r="C18" s="21" t="n">
        <f aca="false">SUM(C6:C17)</f>
        <v>0</v>
      </c>
      <c r="D18" s="21" t="n">
        <f aca="false">SUM(D6:D17)</f>
        <v>0</v>
      </c>
      <c r="E18" s="21" t="n">
        <f aca="false">SUM(E6:E17)</f>
        <v>0</v>
      </c>
      <c r="F18" s="21" t="n">
        <f aca="false">SUM(F6:F17)</f>
        <v>0</v>
      </c>
      <c r="G18" s="21" t="n">
        <f aca="false">SUM(G6:G17)</f>
        <v>0</v>
      </c>
      <c r="H18" s="21" t="n">
        <f aca="false">SUM(H6:H17)</f>
        <v>1434198</v>
      </c>
      <c r="I18" s="21" t="n">
        <f aca="false">SUM(I6:I17)</f>
        <v>1446017</v>
      </c>
      <c r="J18" s="21" t="n">
        <f aca="false">SUM(J6:J17)</f>
        <v>1564463</v>
      </c>
      <c r="K18" s="21" t="n">
        <f aca="false">SUM(K6:K17)</f>
        <v>1143463</v>
      </c>
      <c r="L18" s="21" t="n">
        <f aca="false">SUM(L6:L17)</f>
        <v>1585060</v>
      </c>
      <c r="M18" s="21" t="n">
        <f aca="false">SUM(M6:M17)</f>
        <v>1752141</v>
      </c>
      <c r="N18" s="21" t="n">
        <f aca="false">SUM(N6:N17)</f>
        <v>1772567</v>
      </c>
      <c r="O18" s="21" t="n">
        <f aca="false">SUM(O6:O17)</f>
        <v>1795188</v>
      </c>
      <c r="P18" s="21" t="n">
        <f aca="false">SUM(P6:P17)</f>
        <v>1852211</v>
      </c>
      <c r="Q18" s="21" t="n">
        <f aca="false">SUM(Q6:Q17)</f>
        <v>1862627</v>
      </c>
      <c r="R18" s="21" t="n">
        <f aca="false">SUM(R6:R17)</f>
        <v>1891043</v>
      </c>
      <c r="S18" s="21" t="n">
        <f aca="false">SUM(S6:S17)</f>
        <v>1916622</v>
      </c>
      <c r="T18" s="21" t="n">
        <f aca="false">SUM(T6:T17)</f>
        <v>1948254</v>
      </c>
      <c r="U18" s="21" t="n">
        <f aca="false">SUM(U6:U17)</f>
        <v>1997598</v>
      </c>
      <c r="V18" s="21" t="n">
        <f aca="false">SUM(V6:V17)</f>
        <v>1649066</v>
      </c>
      <c r="W18" s="21" t="n">
        <f aca="false">SUM(W6:W17)</f>
        <v>1651652</v>
      </c>
      <c r="X18" s="21" t="n">
        <f aca="false">SUM(X6:X17)</f>
        <v>1688301</v>
      </c>
      <c r="Y18" s="21" t="n">
        <f aca="false">SUM(Y6:Y17)</f>
        <v>1685292</v>
      </c>
      <c r="Z18" s="21" t="n">
        <f aca="false">SUM(Z6:Z17)</f>
        <v>1758829</v>
      </c>
      <c r="AA18" s="21" t="n">
        <f aca="false">SUM(AA6:AA17)</f>
        <v>1787972</v>
      </c>
      <c r="AB18" s="21" t="n">
        <f aca="false">SUM(AB6:AB17)</f>
        <v>1789912</v>
      </c>
      <c r="AC18" s="21" t="n">
        <f aca="false">SUM(AC6:AC17)</f>
        <v>1838371</v>
      </c>
      <c r="AD18" s="21" t="n">
        <f aca="false">SUM(AD6:AD17)</f>
        <v>1900156</v>
      </c>
      <c r="AE18" s="21" t="n">
        <f aca="false">SUM(AE6:AE17)</f>
        <v>1963012</v>
      </c>
      <c r="AF18" s="21" t="n">
        <f aca="false">SUM(AF6:AF17)</f>
        <v>2016138</v>
      </c>
      <c r="AG18" s="21" t="n">
        <f aca="false">SUM(AG6:AG17)</f>
        <v>2050881</v>
      </c>
    </row>
    <row r="19" customFormat="false" ht="19.5" hidden="false" customHeight="true" outlineLevel="0" collapsed="false">
      <c r="A19" s="20" t="s">
        <v>79</v>
      </c>
      <c r="B19" s="6"/>
      <c r="C19" s="22" t="n">
        <f aca="false">C18-C12</f>
        <v>0</v>
      </c>
      <c r="D19" s="22" t="n">
        <f aca="false">D18-D12</f>
        <v>0</v>
      </c>
      <c r="E19" s="22" t="n">
        <f aca="false">E18-E12</f>
        <v>0</v>
      </c>
      <c r="F19" s="22" t="n">
        <f aca="false">F18-F12</f>
        <v>0</v>
      </c>
      <c r="G19" s="22" t="n">
        <f aca="false">G18-G12</f>
        <v>0</v>
      </c>
      <c r="H19" s="22" t="n">
        <f aca="false">H18-H12</f>
        <v>1264728</v>
      </c>
      <c r="I19" s="22" t="n">
        <f aca="false">I18-I12</f>
        <v>1276100</v>
      </c>
      <c r="J19" s="22" t="n">
        <f aca="false">J18-J12</f>
        <v>1394089</v>
      </c>
      <c r="K19" s="22" t="n">
        <f aca="false">K18-K12</f>
        <v>972620</v>
      </c>
      <c r="L19" s="22" t="n">
        <f aca="false">L18-L12</f>
        <v>1413739</v>
      </c>
      <c r="M19" s="22" t="n">
        <f aca="false">M18-M12</f>
        <v>1580546</v>
      </c>
      <c r="N19" s="22" t="n">
        <f aca="false">N18-N12</f>
        <v>1600778</v>
      </c>
      <c r="O19" s="22" t="n">
        <f aca="false">O18-O12</f>
        <v>1622683</v>
      </c>
      <c r="P19" s="22" t="n">
        <f aca="false">P18-P12</f>
        <v>1679174</v>
      </c>
      <c r="Q19" s="22" t="n">
        <f aca="false">Q18-Q12</f>
        <v>1689045</v>
      </c>
      <c r="R19" s="22" t="n">
        <f aca="false">R18-R12</f>
        <v>1717099</v>
      </c>
      <c r="S19" s="22" t="n">
        <f aca="false">S18-S12</f>
        <v>1742037</v>
      </c>
      <c r="T19" s="22" t="n">
        <f aca="false">T18-T12</f>
        <v>1772324</v>
      </c>
      <c r="U19" s="22" t="n">
        <f aca="false">U18-U12</f>
        <v>1820619</v>
      </c>
      <c r="V19" s="22" t="n">
        <f aca="false">V18-V12</f>
        <v>1649066</v>
      </c>
      <c r="W19" s="22" t="n">
        <f aca="false">W18-W12</f>
        <v>1651652</v>
      </c>
      <c r="X19" s="22" t="n">
        <f aca="false">X18-X12</f>
        <v>1688301</v>
      </c>
      <c r="Y19" s="22" t="n">
        <f aca="false">Y18-Y12</f>
        <v>1685292</v>
      </c>
      <c r="Z19" s="22" t="n">
        <f aca="false">Z18-Z12</f>
        <v>1758829</v>
      </c>
      <c r="AA19" s="22" t="n">
        <f aca="false">AA18-AA12</f>
        <v>1787972</v>
      </c>
      <c r="AB19" s="22" t="n">
        <f aca="false">AB18-AB12</f>
        <v>1789912</v>
      </c>
      <c r="AC19" s="22" t="n">
        <f aca="false">AC18-AC12</f>
        <v>1838371</v>
      </c>
      <c r="AD19" s="22" t="n">
        <f aca="false">AD18-AD12</f>
        <v>1900156</v>
      </c>
      <c r="AE19" s="22" t="n">
        <f aca="false">AE18-AE12</f>
        <v>1963012</v>
      </c>
      <c r="AF19" s="22" t="n">
        <f aca="false">AF18-AF12</f>
        <v>2016138</v>
      </c>
      <c r="AG19" s="22" t="n">
        <f aca="false">AG18-AG12</f>
        <v>2050881</v>
      </c>
    </row>
    <row r="21" customFormat="false" ht="18" hidden="false" customHeight="true" outlineLevel="0" collapsed="false">
      <c r="A21" s="23" t="s">
        <v>80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</sheetData>
  <mergeCells count="3">
    <mergeCell ref="A1:AF1"/>
    <mergeCell ref="A3:AF3"/>
    <mergeCell ref="A21:A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24" t="s">
        <v>81</v>
      </c>
      <c r="B1" s="24"/>
      <c r="C1" s="24"/>
      <c r="D1" s="24"/>
      <c r="E1" s="24"/>
      <c r="F1" s="24"/>
      <c r="G1" s="24"/>
      <c r="H1" s="24"/>
      <c r="I1" s="24"/>
    </row>
    <row r="2" customFormat="false" ht="19.5" hidden="false" customHeight="true" outlineLevel="0" collapsed="false">
      <c r="A2" s="25" t="s">
        <v>82</v>
      </c>
      <c r="B2" s="25"/>
      <c r="C2" s="25"/>
      <c r="D2" s="25"/>
      <c r="E2" s="25"/>
      <c r="F2" s="25"/>
      <c r="G2" s="25"/>
      <c r="H2" s="25"/>
      <c r="I2" s="25"/>
    </row>
    <row r="3" customFormat="false" ht="36" hidden="false" customHeight="true" outlineLevel="0" collapsed="false">
      <c r="A3" s="26" t="s">
        <v>83</v>
      </c>
      <c r="B3" s="26" t="s">
        <v>84</v>
      </c>
      <c r="C3" s="26" t="s">
        <v>85</v>
      </c>
      <c r="D3" s="26" t="s">
        <v>86</v>
      </c>
      <c r="E3" s="26" t="s">
        <v>87</v>
      </c>
      <c r="F3" s="26" t="s">
        <v>88</v>
      </c>
      <c r="G3" s="26" t="s">
        <v>89</v>
      </c>
      <c r="H3" s="26" t="s">
        <v>90</v>
      </c>
      <c r="I3" s="26" t="s">
        <v>91</v>
      </c>
    </row>
    <row r="4" customFormat="false" ht="15.75" hidden="false" customHeight="true" outlineLevel="0" collapsed="false">
      <c r="A4" s="27" t="n">
        <v>1</v>
      </c>
      <c r="B4" s="28" t="s">
        <v>65</v>
      </c>
      <c r="C4" s="27" t="n">
        <v>1</v>
      </c>
      <c r="D4" s="27" t="s">
        <v>1</v>
      </c>
      <c r="E4" s="27" t="s">
        <v>34</v>
      </c>
      <c r="F4" s="29" t="n">
        <v>5539</v>
      </c>
      <c r="G4" s="29" t="n">
        <v>0</v>
      </c>
      <c r="H4" s="30" t="n">
        <v>-5539</v>
      </c>
      <c r="I4" s="31" t="s">
        <v>92</v>
      </c>
    </row>
    <row r="5" customFormat="false" ht="15.75" hidden="false" customHeight="true" outlineLevel="0" collapsed="false">
      <c r="A5" s="27" t="n">
        <v>2</v>
      </c>
      <c r="B5" s="31" t="s">
        <v>65</v>
      </c>
      <c r="C5" s="27" t="n">
        <v>2</v>
      </c>
      <c r="D5" s="27" t="s">
        <v>2</v>
      </c>
      <c r="E5" s="27" t="s">
        <v>35</v>
      </c>
      <c r="F5" s="29" t="n">
        <v>10311</v>
      </c>
      <c r="G5" s="29" t="n">
        <v>0</v>
      </c>
      <c r="H5" s="30" t="n">
        <v>-10311</v>
      </c>
      <c r="I5" s="31" t="s">
        <v>92</v>
      </c>
    </row>
    <row r="6" customFormat="false" ht="15.75" hidden="false" customHeight="true" outlineLevel="0" collapsed="false">
      <c r="A6" s="27" t="n">
        <v>3</v>
      </c>
      <c r="B6" s="31" t="s">
        <v>65</v>
      </c>
      <c r="C6" s="27" t="n">
        <v>3</v>
      </c>
      <c r="D6" s="27" t="s">
        <v>3</v>
      </c>
      <c r="E6" s="27" t="s">
        <v>36</v>
      </c>
      <c r="F6" s="29" t="n">
        <v>10311</v>
      </c>
      <c r="G6" s="29" t="n">
        <v>0</v>
      </c>
      <c r="H6" s="30" t="n">
        <v>-10311</v>
      </c>
      <c r="I6" s="31" t="s">
        <v>92</v>
      </c>
    </row>
    <row r="7" customFormat="false" ht="15.75" hidden="false" customHeight="true" outlineLevel="0" collapsed="false">
      <c r="A7" s="27" t="n">
        <v>4</v>
      </c>
      <c r="B7" s="31" t="s">
        <v>65</v>
      </c>
      <c r="C7" s="27" t="n">
        <v>4</v>
      </c>
      <c r="D7" s="27" t="s">
        <v>4</v>
      </c>
      <c r="E7" s="27" t="s">
        <v>37</v>
      </c>
      <c r="F7" s="29" t="n">
        <v>9869</v>
      </c>
      <c r="G7" s="29" t="n">
        <v>0</v>
      </c>
      <c r="H7" s="30" t="n">
        <v>-9869</v>
      </c>
      <c r="I7" s="31" t="s">
        <v>92</v>
      </c>
    </row>
    <row r="8" customFormat="false" ht="15.75" hidden="false" customHeight="true" outlineLevel="0" collapsed="false">
      <c r="A8" s="27" t="n">
        <v>5</v>
      </c>
      <c r="B8" s="31" t="s">
        <v>65</v>
      </c>
      <c r="C8" s="27" t="n">
        <v>5</v>
      </c>
      <c r="D8" s="27" t="s">
        <v>5</v>
      </c>
      <c r="E8" s="27" t="s">
        <v>38</v>
      </c>
      <c r="F8" s="29" t="n">
        <v>10607</v>
      </c>
      <c r="G8" s="29" t="n">
        <v>0</v>
      </c>
      <c r="H8" s="30" t="n">
        <v>-10607</v>
      </c>
      <c r="I8" s="31" t="s">
        <v>92</v>
      </c>
    </row>
    <row r="9" customFormat="false" ht="15.75" hidden="false" customHeight="true" outlineLevel="0" collapsed="false">
      <c r="A9" s="32" t="n">
        <v>6</v>
      </c>
      <c r="B9" s="33" t="s">
        <v>65</v>
      </c>
      <c r="C9" s="32" t="n">
        <v>8</v>
      </c>
      <c r="D9" s="32" t="s">
        <v>8</v>
      </c>
      <c r="E9" s="32" t="s">
        <v>93</v>
      </c>
      <c r="F9" s="34" t="n">
        <v>15000</v>
      </c>
      <c r="G9" s="34" t="n">
        <v>16250</v>
      </c>
      <c r="H9" s="35" t="n">
        <v>1250</v>
      </c>
      <c r="I9" s="33" t="s">
        <v>92</v>
      </c>
    </row>
    <row r="10" customFormat="false" ht="15.75" hidden="false" customHeight="true" outlineLevel="0" collapsed="false">
      <c r="A10" s="27" t="n">
        <v>7</v>
      </c>
      <c r="B10" s="31" t="s">
        <v>65</v>
      </c>
      <c r="C10" s="27" t="n">
        <v>9</v>
      </c>
      <c r="D10" s="27" t="s">
        <v>9</v>
      </c>
      <c r="E10" s="27" t="s">
        <v>94</v>
      </c>
      <c r="F10" s="29" t="n">
        <v>15000</v>
      </c>
      <c r="G10" s="29" t="n">
        <v>0</v>
      </c>
      <c r="H10" s="30" t="n">
        <v>-15000</v>
      </c>
      <c r="I10" s="31" t="s">
        <v>92</v>
      </c>
    </row>
    <row r="11" customFormat="false" ht="15.75" hidden="false" customHeight="true" outlineLevel="0" collapsed="false">
      <c r="A11" s="32" t="n">
        <v>8</v>
      </c>
      <c r="B11" s="33" t="s">
        <v>65</v>
      </c>
      <c r="C11" s="32" t="n">
        <v>10</v>
      </c>
      <c r="D11" s="32" t="s">
        <v>10</v>
      </c>
      <c r="E11" s="32" t="s">
        <v>95</v>
      </c>
      <c r="F11" s="34" t="n">
        <v>18750</v>
      </c>
      <c r="G11" s="34" t="n">
        <v>20005</v>
      </c>
      <c r="H11" s="35" t="n">
        <v>1255</v>
      </c>
      <c r="I11" s="33" t="s">
        <v>92</v>
      </c>
    </row>
    <row r="12" customFormat="false" ht="15.75" hidden="false" customHeight="true" outlineLevel="0" collapsed="false">
      <c r="A12" s="32" t="n">
        <v>9</v>
      </c>
      <c r="B12" s="33" t="s">
        <v>65</v>
      </c>
      <c r="C12" s="32" t="n">
        <v>11</v>
      </c>
      <c r="D12" s="32" t="s">
        <v>11</v>
      </c>
      <c r="E12" s="32" t="s">
        <v>96</v>
      </c>
      <c r="F12" s="34" t="n">
        <v>20989</v>
      </c>
      <c r="G12" s="34" t="n">
        <v>21898</v>
      </c>
      <c r="H12" s="35" t="n">
        <v>909</v>
      </c>
      <c r="I12" s="33" t="s">
        <v>92</v>
      </c>
    </row>
    <row r="13" customFormat="false" ht="15.75" hidden="false" customHeight="true" outlineLevel="0" collapsed="false">
      <c r="A13" s="32" t="n">
        <v>10</v>
      </c>
      <c r="B13" s="33" t="s">
        <v>65</v>
      </c>
      <c r="C13" s="32" t="n">
        <v>12</v>
      </c>
      <c r="D13" s="32" t="s">
        <v>12</v>
      </c>
      <c r="E13" s="32" t="s">
        <v>97</v>
      </c>
      <c r="F13" s="34" t="n">
        <v>20989</v>
      </c>
      <c r="G13" s="34" t="n">
        <v>21898</v>
      </c>
      <c r="H13" s="35" t="n">
        <v>909</v>
      </c>
      <c r="I13" s="33" t="s">
        <v>92</v>
      </c>
    </row>
    <row r="14" customFormat="false" ht="15.75" hidden="false" customHeight="true" outlineLevel="0" collapsed="false">
      <c r="A14" s="32" t="n">
        <v>11</v>
      </c>
      <c r="B14" s="33" t="s">
        <v>65</v>
      </c>
      <c r="C14" s="32" t="n">
        <v>13</v>
      </c>
      <c r="D14" s="32" t="s">
        <v>13</v>
      </c>
      <c r="E14" s="32" t="s">
        <v>98</v>
      </c>
      <c r="F14" s="34" t="n">
        <v>20989</v>
      </c>
      <c r="G14" s="34" t="n">
        <v>21898</v>
      </c>
      <c r="H14" s="35" t="n">
        <v>909</v>
      </c>
      <c r="I14" s="33" t="s">
        <v>92</v>
      </c>
    </row>
    <row r="15" customFormat="false" ht="15.75" hidden="false" customHeight="true" outlineLevel="0" collapsed="false">
      <c r="A15" s="32" t="n">
        <v>12</v>
      </c>
      <c r="B15" s="33" t="s">
        <v>65</v>
      </c>
      <c r="C15" s="32" t="n">
        <v>14</v>
      </c>
      <c r="D15" s="32" t="s">
        <v>14</v>
      </c>
      <c r="E15" s="32" t="s">
        <v>99</v>
      </c>
      <c r="F15" s="34" t="n">
        <v>22563</v>
      </c>
      <c r="G15" s="34" t="n">
        <v>24039</v>
      </c>
      <c r="H15" s="35" t="n">
        <v>1476</v>
      </c>
      <c r="I15" s="33" t="s">
        <v>92</v>
      </c>
    </row>
    <row r="16" customFormat="false" ht="15.75" hidden="false" customHeight="true" outlineLevel="0" collapsed="false">
      <c r="A16" s="32" t="n">
        <v>13</v>
      </c>
      <c r="B16" s="33" t="s">
        <v>65</v>
      </c>
      <c r="C16" s="32" t="n">
        <v>15</v>
      </c>
      <c r="D16" s="32" t="s">
        <v>15</v>
      </c>
      <c r="E16" s="32" t="s">
        <v>100</v>
      </c>
      <c r="F16" s="34" t="n">
        <v>22563</v>
      </c>
      <c r="G16" s="34" t="n">
        <v>24039</v>
      </c>
      <c r="H16" s="35" t="n">
        <v>1476</v>
      </c>
      <c r="I16" s="33" t="s">
        <v>92</v>
      </c>
    </row>
    <row r="17" customFormat="false" ht="15.75" hidden="false" customHeight="true" outlineLevel="0" collapsed="false">
      <c r="A17" s="32" t="n">
        <v>14</v>
      </c>
      <c r="B17" s="33" t="s">
        <v>65</v>
      </c>
      <c r="C17" s="32" t="n">
        <v>16</v>
      </c>
      <c r="D17" s="32" t="s">
        <v>16</v>
      </c>
      <c r="E17" s="32" t="s">
        <v>101</v>
      </c>
      <c r="F17" s="34" t="n">
        <v>22563</v>
      </c>
      <c r="G17" s="34" t="n">
        <v>24039</v>
      </c>
      <c r="H17" s="35" t="n">
        <v>1476</v>
      </c>
      <c r="I17" s="33" t="s">
        <v>92</v>
      </c>
    </row>
    <row r="18" customFormat="false" ht="15.75" hidden="false" customHeight="true" outlineLevel="0" collapsed="false">
      <c r="A18" s="32" t="n">
        <v>15</v>
      </c>
      <c r="B18" s="33" t="s">
        <v>65</v>
      </c>
      <c r="C18" s="32" t="n">
        <v>17</v>
      </c>
      <c r="D18" s="32" t="s">
        <v>17</v>
      </c>
      <c r="E18" s="32" t="s">
        <v>102</v>
      </c>
      <c r="F18" s="34" t="n">
        <v>22563</v>
      </c>
      <c r="G18" s="34" t="n">
        <v>24039</v>
      </c>
      <c r="H18" s="35" t="n">
        <v>1476</v>
      </c>
      <c r="I18" s="33" t="s">
        <v>92</v>
      </c>
    </row>
    <row r="19" customFormat="false" ht="15.75" hidden="false" customHeight="true" outlineLevel="0" collapsed="false">
      <c r="A19" s="32" t="n">
        <v>16</v>
      </c>
      <c r="B19" s="33" t="s">
        <v>65</v>
      </c>
      <c r="C19" s="32" t="n">
        <v>18</v>
      </c>
      <c r="D19" s="32" t="s">
        <v>18</v>
      </c>
      <c r="E19" s="32" t="s">
        <v>103</v>
      </c>
      <c r="F19" s="34" t="n">
        <v>22563</v>
      </c>
      <c r="G19" s="34" t="n">
        <v>24039</v>
      </c>
      <c r="H19" s="35" t="n">
        <v>1476</v>
      </c>
      <c r="I19" s="33" t="s">
        <v>92</v>
      </c>
    </row>
    <row r="20" customFormat="false" ht="15.75" hidden="false" customHeight="true" outlineLevel="0" collapsed="false">
      <c r="A20" s="32" t="n">
        <v>17</v>
      </c>
      <c r="B20" s="33" t="s">
        <v>65</v>
      </c>
      <c r="C20" s="32" t="n">
        <v>19</v>
      </c>
      <c r="D20" s="32" t="s">
        <v>19</v>
      </c>
      <c r="E20" s="32" t="s">
        <v>104</v>
      </c>
      <c r="F20" s="34" t="n">
        <v>22563</v>
      </c>
      <c r="G20" s="34" t="n">
        <v>24039</v>
      </c>
      <c r="H20" s="35" t="n">
        <v>1476</v>
      </c>
      <c r="I20" s="33" t="s">
        <v>92</v>
      </c>
    </row>
    <row r="21" customFormat="false" ht="15.75" hidden="false" customHeight="true" outlineLevel="0" collapsed="false">
      <c r="A21" s="27" t="n">
        <v>18</v>
      </c>
      <c r="B21" s="28" t="s">
        <v>66</v>
      </c>
      <c r="C21" s="27" t="n">
        <v>1</v>
      </c>
      <c r="D21" s="27" t="s">
        <v>1</v>
      </c>
      <c r="E21" s="27" t="s">
        <v>34</v>
      </c>
      <c r="F21" s="29" t="n">
        <v>11341</v>
      </c>
      <c r="G21" s="29" t="n">
        <v>0</v>
      </c>
      <c r="H21" s="30" t="n">
        <v>-11341</v>
      </c>
      <c r="I21" s="31" t="s">
        <v>105</v>
      </c>
    </row>
    <row r="22" customFormat="false" ht="15.75" hidden="false" customHeight="true" outlineLevel="0" collapsed="false">
      <c r="A22" s="27" t="n">
        <v>19</v>
      </c>
      <c r="B22" s="31" t="s">
        <v>66</v>
      </c>
      <c r="C22" s="27" t="n">
        <v>2</v>
      </c>
      <c r="D22" s="27" t="s">
        <v>2</v>
      </c>
      <c r="E22" s="27" t="s">
        <v>35</v>
      </c>
      <c r="F22" s="29" t="n">
        <v>11843</v>
      </c>
      <c r="G22" s="29" t="n">
        <v>0</v>
      </c>
      <c r="H22" s="30" t="n">
        <v>-11843</v>
      </c>
      <c r="I22" s="31" t="s">
        <v>105</v>
      </c>
    </row>
    <row r="23" customFormat="false" ht="15.75" hidden="false" customHeight="true" outlineLevel="0" collapsed="false">
      <c r="A23" s="27" t="n">
        <v>20</v>
      </c>
      <c r="B23" s="31" t="s">
        <v>66</v>
      </c>
      <c r="C23" s="27" t="n">
        <v>3</v>
      </c>
      <c r="D23" s="27" t="s">
        <v>3</v>
      </c>
      <c r="E23" s="27" t="s">
        <v>36</v>
      </c>
      <c r="F23" s="29" t="n">
        <v>12028</v>
      </c>
      <c r="G23" s="29" t="n">
        <v>0</v>
      </c>
      <c r="H23" s="30" t="n">
        <v>-12028</v>
      </c>
      <c r="I23" s="31" t="s">
        <v>105</v>
      </c>
    </row>
    <row r="24" customFormat="false" ht="15.75" hidden="false" customHeight="true" outlineLevel="0" collapsed="false">
      <c r="A24" s="27" t="n">
        <v>21</v>
      </c>
      <c r="B24" s="31" t="s">
        <v>66</v>
      </c>
      <c r="C24" s="27" t="n">
        <v>4</v>
      </c>
      <c r="D24" s="27" t="s">
        <v>4</v>
      </c>
      <c r="E24" s="27" t="s">
        <v>37</v>
      </c>
      <c r="F24" s="29" t="n">
        <v>12198</v>
      </c>
      <c r="G24" s="29" t="n">
        <v>0</v>
      </c>
      <c r="H24" s="30" t="n">
        <v>-12198</v>
      </c>
      <c r="I24" s="31" t="s">
        <v>105</v>
      </c>
    </row>
    <row r="25" customFormat="false" ht="15.75" hidden="false" customHeight="true" outlineLevel="0" collapsed="false">
      <c r="A25" s="27" t="n">
        <v>22</v>
      </c>
      <c r="B25" s="31" t="s">
        <v>66</v>
      </c>
      <c r="C25" s="27" t="n">
        <v>5</v>
      </c>
      <c r="D25" s="27" t="s">
        <v>5</v>
      </c>
      <c r="E25" s="27" t="s">
        <v>38</v>
      </c>
      <c r="F25" s="29" t="n">
        <v>12421</v>
      </c>
      <c r="G25" s="29" t="n">
        <v>0</v>
      </c>
      <c r="H25" s="30" t="n">
        <v>-12421</v>
      </c>
      <c r="I25" s="31" t="s">
        <v>105</v>
      </c>
    </row>
    <row r="26" customFormat="false" ht="15.75" hidden="false" customHeight="true" outlineLevel="0" collapsed="false">
      <c r="A26" s="32" t="n">
        <v>23</v>
      </c>
      <c r="B26" s="33" t="s">
        <v>66</v>
      </c>
      <c r="C26" s="32" t="n">
        <v>10</v>
      </c>
      <c r="D26" s="32" t="s">
        <v>10</v>
      </c>
      <c r="E26" s="32" t="s">
        <v>95</v>
      </c>
      <c r="F26" s="34" t="n">
        <v>13604</v>
      </c>
      <c r="G26" s="34" t="n">
        <v>13612</v>
      </c>
      <c r="H26" s="35" t="n">
        <v>8</v>
      </c>
      <c r="I26" s="33" t="s">
        <v>105</v>
      </c>
    </row>
    <row r="27" customFormat="false" ht="15.75" hidden="false" customHeight="true" outlineLevel="0" collapsed="false">
      <c r="A27" s="32" t="n">
        <v>24</v>
      </c>
      <c r="B27" s="33" t="s">
        <v>66</v>
      </c>
      <c r="C27" s="32" t="n">
        <v>11</v>
      </c>
      <c r="D27" s="32" t="s">
        <v>11</v>
      </c>
      <c r="E27" s="32" t="s">
        <v>96</v>
      </c>
      <c r="F27" s="34" t="n">
        <v>13455</v>
      </c>
      <c r="G27" s="34" t="n">
        <v>13476</v>
      </c>
      <c r="H27" s="35" t="n">
        <v>21</v>
      </c>
      <c r="I27" s="33" t="s">
        <v>105</v>
      </c>
    </row>
    <row r="28" customFormat="false" ht="15.75" hidden="false" customHeight="true" outlineLevel="0" collapsed="false">
      <c r="A28" s="32" t="n">
        <v>25</v>
      </c>
      <c r="B28" s="33" t="s">
        <v>66</v>
      </c>
      <c r="C28" s="32" t="n">
        <v>12</v>
      </c>
      <c r="D28" s="32" t="s">
        <v>12</v>
      </c>
      <c r="E28" s="32" t="s">
        <v>97</v>
      </c>
      <c r="F28" s="34" t="n">
        <v>13145</v>
      </c>
      <c r="G28" s="34" t="n">
        <v>13166</v>
      </c>
      <c r="H28" s="35" t="n">
        <v>21</v>
      </c>
      <c r="I28" s="33" t="s">
        <v>105</v>
      </c>
    </row>
    <row r="29" customFormat="false" ht="15.75" hidden="false" customHeight="true" outlineLevel="0" collapsed="false">
      <c r="A29" s="32" t="n">
        <v>26</v>
      </c>
      <c r="B29" s="33" t="s">
        <v>66</v>
      </c>
      <c r="C29" s="32" t="n">
        <v>13</v>
      </c>
      <c r="D29" s="32" t="s">
        <v>13</v>
      </c>
      <c r="E29" s="32" t="s">
        <v>98</v>
      </c>
      <c r="F29" s="34" t="n">
        <v>13018</v>
      </c>
      <c r="G29" s="34" t="n">
        <v>13040</v>
      </c>
      <c r="H29" s="35" t="n">
        <v>22</v>
      </c>
      <c r="I29" s="33" t="s">
        <v>105</v>
      </c>
    </row>
    <row r="30" customFormat="false" ht="15.75" hidden="false" customHeight="true" outlineLevel="0" collapsed="false">
      <c r="A30" s="32" t="n">
        <v>27</v>
      </c>
      <c r="B30" s="33" t="s">
        <v>66</v>
      </c>
      <c r="C30" s="32" t="n">
        <v>14</v>
      </c>
      <c r="D30" s="32" t="s">
        <v>14</v>
      </c>
      <c r="E30" s="32" t="s">
        <v>99</v>
      </c>
      <c r="F30" s="34" t="n">
        <v>12998</v>
      </c>
      <c r="G30" s="34" t="n">
        <v>13020</v>
      </c>
      <c r="H30" s="35" t="n">
        <v>22</v>
      </c>
      <c r="I30" s="33" t="s">
        <v>105</v>
      </c>
    </row>
    <row r="31" customFormat="false" ht="15.75" hidden="false" customHeight="true" outlineLevel="0" collapsed="false">
      <c r="A31" s="32" t="n">
        <v>28</v>
      </c>
      <c r="B31" s="33" t="s">
        <v>66</v>
      </c>
      <c r="C31" s="32" t="n">
        <v>15</v>
      </c>
      <c r="D31" s="32" t="s">
        <v>15</v>
      </c>
      <c r="E31" s="32" t="s">
        <v>100</v>
      </c>
      <c r="F31" s="34" t="n">
        <v>12880</v>
      </c>
      <c r="G31" s="34" t="n">
        <v>12902</v>
      </c>
      <c r="H31" s="35" t="n">
        <v>22</v>
      </c>
      <c r="I31" s="33" t="s">
        <v>105</v>
      </c>
    </row>
    <row r="32" customFormat="false" ht="15.75" hidden="false" customHeight="true" outlineLevel="0" collapsed="false">
      <c r="A32" s="32" t="n">
        <v>29</v>
      </c>
      <c r="B32" s="33" t="s">
        <v>66</v>
      </c>
      <c r="C32" s="32" t="n">
        <v>16</v>
      </c>
      <c r="D32" s="32" t="s">
        <v>16</v>
      </c>
      <c r="E32" s="32" t="s">
        <v>101</v>
      </c>
      <c r="F32" s="34" t="n">
        <v>12567</v>
      </c>
      <c r="G32" s="34" t="n">
        <v>12589</v>
      </c>
      <c r="H32" s="35" t="n">
        <v>22</v>
      </c>
      <c r="I32" s="33" t="s">
        <v>105</v>
      </c>
    </row>
    <row r="33" customFormat="false" ht="15.75" hidden="false" customHeight="true" outlineLevel="0" collapsed="false">
      <c r="A33" s="32" t="n">
        <v>30</v>
      </c>
      <c r="B33" s="33" t="s">
        <v>66</v>
      </c>
      <c r="C33" s="32" t="n">
        <v>17</v>
      </c>
      <c r="D33" s="32" t="s">
        <v>17</v>
      </c>
      <c r="E33" s="32" t="s">
        <v>102</v>
      </c>
      <c r="F33" s="34" t="n">
        <v>5900</v>
      </c>
      <c r="G33" s="34" t="n">
        <v>5923</v>
      </c>
      <c r="H33" s="35" t="n">
        <v>23</v>
      </c>
      <c r="I33" s="33" t="s">
        <v>105</v>
      </c>
    </row>
    <row r="34" customFormat="false" ht="15.75" hidden="false" customHeight="true" outlineLevel="0" collapsed="false">
      <c r="A34" s="32" t="n">
        <v>31</v>
      </c>
      <c r="B34" s="33" t="s">
        <v>66</v>
      </c>
      <c r="C34" s="32" t="n">
        <v>18</v>
      </c>
      <c r="D34" s="32" t="s">
        <v>18</v>
      </c>
      <c r="E34" s="32" t="s">
        <v>103</v>
      </c>
      <c r="F34" s="34" t="n">
        <v>6100</v>
      </c>
      <c r="G34" s="34" t="n">
        <v>6123</v>
      </c>
      <c r="H34" s="35" t="n">
        <v>23</v>
      </c>
      <c r="I34" s="33" t="s">
        <v>105</v>
      </c>
    </row>
    <row r="35" customFormat="false" ht="15.75" hidden="false" customHeight="true" outlineLevel="0" collapsed="false">
      <c r="A35" s="32" t="n">
        <v>32</v>
      </c>
      <c r="B35" s="33" t="s">
        <v>66</v>
      </c>
      <c r="C35" s="32" t="n">
        <v>19</v>
      </c>
      <c r="D35" s="32" t="s">
        <v>19</v>
      </c>
      <c r="E35" s="32" t="s">
        <v>104</v>
      </c>
      <c r="F35" s="34" t="n">
        <v>6300</v>
      </c>
      <c r="G35" s="34" t="n">
        <v>6325</v>
      </c>
      <c r="H35" s="35" t="n">
        <v>25</v>
      </c>
      <c r="I35" s="33" t="s">
        <v>105</v>
      </c>
    </row>
    <row r="36" customFormat="false" ht="15.75" hidden="false" customHeight="true" outlineLevel="0" collapsed="false">
      <c r="A36" s="27" t="n">
        <v>33</v>
      </c>
      <c r="B36" s="31" t="s">
        <v>66</v>
      </c>
      <c r="C36" s="27" t="n">
        <v>29</v>
      </c>
      <c r="D36" s="27" t="s">
        <v>29</v>
      </c>
      <c r="E36" s="27" t="s">
        <v>106</v>
      </c>
      <c r="F36" s="29" t="n">
        <v>1430</v>
      </c>
      <c r="G36" s="29" t="n">
        <v>1400</v>
      </c>
      <c r="H36" s="30" t="n">
        <v>-30</v>
      </c>
      <c r="I36" s="31" t="s">
        <v>105</v>
      </c>
    </row>
    <row r="37" customFormat="false" ht="15.75" hidden="false" customHeight="true" outlineLevel="0" collapsed="false">
      <c r="A37" s="27" t="n">
        <v>34</v>
      </c>
      <c r="B37" s="31" t="s">
        <v>66</v>
      </c>
      <c r="C37" s="27" t="n">
        <v>30</v>
      </c>
      <c r="D37" s="27" t="s">
        <v>30</v>
      </c>
      <c r="E37" s="27" t="s">
        <v>107</v>
      </c>
      <c r="F37" s="29" t="n">
        <v>1466</v>
      </c>
      <c r="G37" s="29" t="n">
        <v>1436</v>
      </c>
      <c r="H37" s="30" t="n">
        <v>-30</v>
      </c>
      <c r="I37" s="31" t="s">
        <v>105</v>
      </c>
    </row>
    <row r="38" customFormat="false" ht="15.75" hidden="false" customHeight="true" outlineLevel="0" collapsed="false">
      <c r="A38" s="27" t="n">
        <v>35</v>
      </c>
      <c r="B38" s="31" t="s">
        <v>66</v>
      </c>
      <c r="C38" s="27" t="n">
        <v>31</v>
      </c>
      <c r="D38" s="27" t="s">
        <v>31</v>
      </c>
      <c r="E38" s="27" t="s">
        <v>108</v>
      </c>
      <c r="F38" s="29" t="n">
        <v>1494</v>
      </c>
      <c r="G38" s="29" t="n">
        <v>1464</v>
      </c>
      <c r="H38" s="30" t="n">
        <v>-30</v>
      </c>
      <c r="I38" s="31" t="s">
        <v>105</v>
      </c>
    </row>
    <row r="39" customFormat="false" ht="15.75" hidden="false" customHeight="true" outlineLevel="0" collapsed="false">
      <c r="A39" s="27" t="n">
        <v>36</v>
      </c>
      <c r="B39" s="28" t="s">
        <v>67</v>
      </c>
      <c r="C39" s="27" t="n">
        <v>1</v>
      </c>
      <c r="D39" s="27" t="s">
        <v>1</v>
      </c>
      <c r="E39" s="27" t="s">
        <v>34</v>
      </c>
      <c r="F39" s="29" t="n">
        <v>2201</v>
      </c>
      <c r="G39" s="29" t="n">
        <v>0</v>
      </c>
      <c r="H39" s="30" t="n">
        <v>-2201</v>
      </c>
      <c r="I39" s="31" t="s">
        <v>109</v>
      </c>
    </row>
    <row r="40" customFormat="false" ht="15.75" hidden="false" customHeight="true" outlineLevel="0" collapsed="false">
      <c r="A40" s="27" t="n">
        <v>37</v>
      </c>
      <c r="B40" s="31" t="s">
        <v>67</v>
      </c>
      <c r="C40" s="27" t="n">
        <v>2</v>
      </c>
      <c r="D40" s="27" t="s">
        <v>2</v>
      </c>
      <c r="E40" s="27" t="s">
        <v>35</v>
      </c>
      <c r="F40" s="29" t="n">
        <v>2215</v>
      </c>
      <c r="G40" s="29" t="n">
        <v>0</v>
      </c>
      <c r="H40" s="30" t="n">
        <v>-2215</v>
      </c>
      <c r="I40" s="31" t="s">
        <v>109</v>
      </c>
    </row>
    <row r="41" customFormat="false" ht="15.75" hidden="false" customHeight="true" outlineLevel="0" collapsed="false">
      <c r="A41" s="27" t="n">
        <v>38</v>
      </c>
      <c r="B41" s="31" t="s">
        <v>67</v>
      </c>
      <c r="C41" s="27" t="n">
        <v>3</v>
      </c>
      <c r="D41" s="27" t="s">
        <v>3</v>
      </c>
      <c r="E41" s="27" t="s">
        <v>36</v>
      </c>
      <c r="F41" s="29" t="n">
        <v>2297</v>
      </c>
      <c r="G41" s="29" t="n">
        <v>0</v>
      </c>
      <c r="H41" s="30" t="n">
        <v>-2297</v>
      </c>
      <c r="I41" s="31" t="s">
        <v>109</v>
      </c>
    </row>
    <row r="42" customFormat="false" ht="15.75" hidden="false" customHeight="true" outlineLevel="0" collapsed="false">
      <c r="A42" s="27" t="n">
        <v>39</v>
      </c>
      <c r="B42" s="31" t="s">
        <v>67</v>
      </c>
      <c r="C42" s="27" t="n">
        <v>4</v>
      </c>
      <c r="D42" s="27" t="s">
        <v>4</v>
      </c>
      <c r="E42" s="27" t="s">
        <v>37</v>
      </c>
      <c r="F42" s="29" t="n">
        <v>2003</v>
      </c>
      <c r="G42" s="29" t="n">
        <v>0</v>
      </c>
      <c r="H42" s="30" t="n">
        <v>-2003</v>
      </c>
      <c r="I42" s="31" t="s">
        <v>109</v>
      </c>
    </row>
    <row r="43" customFormat="false" ht="15.75" hidden="false" customHeight="true" outlineLevel="0" collapsed="false">
      <c r="A43" s="27" t="n">
        <v>40</v>
      </c>
      <c r="B43" s="31" t="s">
        <v>67</v>
      </c>
      <c r="C43" s="27" t="n">
        <v>5</v>
      </c>
      <c r="D43" s="27" t="s">
        <v>5</v>
      </c>
      <c r="E43" s="27" t="s">
        <v>38</v>
      </c>
      <c r="F43" s="29" t="n">
        <v>2064</v>
      </c>
      <c r="G43" s="29" t="n">
        <v>0</v>
      </c>
      <c r="H43" s="30" t="n">
        <v>-2064</v>
      </c>
      <c r="I43" s="31" t="s">
        <v>109</v>
      </c>
    </row>
    <row r="44" customFormat="false" ht="15.75" hidden="false" customHeight="true" outlineLevel="0" collapsed="false">
      <c r="A44" s="32" t="n">
        <v>41</v>
      </c>
      <c r="B44" s="33" t="s">
        <v>67</v>
      </c>
      <c r="C44" s="32" t="n">
        <v>8</v>
      </c>
      <c r="D44" s="32" t="s">
        <v>8</v>
      </c>
      <c r="E44" s="32" t="s">
        <v>93</v>
      </c>
      <c r="F44" s="34" t="n">
        <v>2716</v>
      </c>
      <c r="G44" s="34" t="n">
        <v>2821</v>
      </c>
      <c r="H44" s="35" t="n">
        <v>105</v>
      </c>
      <c r="I44" s="33" t="s">
        <v>109</v>
      </c>
    </row>
    <row r="45" customFormat="false" ht="15.75" hidden="false" customHeight="true" outlineLevel="0" collapsed="false">
      <c r="A45" s="32" t="n">
        <v>42</v>
      </c>
      <c r="B45" s="33" t="s">
        <v>67</v>
      </c>
      <c r="C45" s="32" t="n">
        <v>9</v>
      </c>
      <c r="D45" s="32" t="s">
        <v>9</v>
      </c>
      <c r="E45" s="32" t="s">
        <v>94</v>
      </c>
      <c r="F45" s="34" t="n">
        <v>2716</v>
      </c>
      <c r="G45" s="34" t="n">
        <v>2832</v>
      </c>
      <c r="H45" s="35" t="n">
        <v>116</v>
      </c>
      <c r="I45" s="33" t="s">
        <v>109</v>
      </c>
    </row>
    <row r="46" customFormat="false" ht="15.75" hidden="false" customHeight="true" outlineLevel="0" collapsed="false">
      <c r="A46" s="32" t="n">
        <v>43</v>
      </c>
      <c r="B46" s="33" t="s">
        <v>67</v>
      </c>
      <c r="C46" s="32" t="n">
        <v>10</v>
      </c>
      <c r="D46" s="32" t="s">
        <v>10</v>
      </c>
      <c r="E46" s="32" t="s">
        <v>95</v>
      </c>
      <c r="F46" s="34" t="n">
        <v>2562</v>
      </c>
      <c r="G46" s="34" t="n">
        <v>2638</v>
      </c>
      <c r="H46" s="35" t="n">
        <v>76</v>
      </c>
      <c r="I46" s="33" t="s">
        <v>109</v>
      </c>
    </row>
    <row r="47" customFormat="false" ht="15.75" hidden="false" customHeight="true" outlineLevel="0" collapsed="false">
      <c r="A47" s="32" t="n">
        <v>44</v>
      </c>
      <c r="B47" s="33" t="s">
        <v>67</v>
      </c>
      <c r="C47" s="32" t="n">
        <v>11</v>
      </c>
      <c r="D47" s="32" t="s">
        <v>11</v>
      </c>
      <c r="E47" s="32" t="s">
        <v>96</v>
      </c>
      <c r="F47" s="34" t="n">
        <v>2869</v>
      </c>
      <c r="G47" s="34" t="n">
        <v>2969</v>
      </c>
      <c r="H47" s="35" t="n">
        <v>100</v>
      </c>
      <c r="I47" s="33" t="s">
        <v>109</v>
      </c>
    </row>
    <row r="48" customFormat="false" ht="15.75" hidden="false" customHeight="true" outlineLevel="0" collapsed="false">
      <c r="A48" s="32" t="n">
        <v>45</v>
      </c>
      <c r="B48" s="33" t="s">
        <v>67</v>
      </c>
      <c r="C48" s="32" t="n">
        <v>12</v>
      </c>
      <c r="D48" s="32" t="s">
        <v>12</v>
      </c>
      <c r="E48" s="32" t="s">
        <v>97</v>
      </c>
      <c r="F48" s="34" t="n">
        <v>2912</v>
      </c>
      <c r="G48" s="34" t="n">
        <v>3013</v>
      </c>
      <c r="H48" s="35" t="n">
        <v>101</v>
      </c>
      <c r="I48" s="33" t="s">
        <v>109</v>
      </c>
    </row>
    <row r="49" customFormat="false" ht="15.75" hidden="false" customHeight="true" outlineLevel="0" collapsed="false">
      <c r="A49" s="32" t="n">
        <v>46</v>
      </c>
      <c r="B49" s="33" t="s">
        <v>67</v>
      </c>
      <c r="C49" s="32" t="n">
        <v>13</v>
      </c>
      <c r="D49" s="32" t="s">
        <v>13</v>
      </c>
      <c r="E49" s="32" t="s">
        <v>98</v>
      </c>
      <c r="F49" s="34" t="n">
        <v>2934</v>
      </c>
      <c r="G49" s="34" t="n">
        <v>3040</v>
      </c>
      <c r="H49" s="35" t="n">
        <v>106</v>
      </c>
      <c r="I49" s="33" t="s">
        <v>109</v>
      </c>
    </row>
    <row r="50" customFormat="false" ht="15.75" hidden="false" customHeight="true" outlineLevel="0" collapsed="false">
      <c r="A50" s="32" t="n">
        <v>47</v>
      </c>
      <c r="B50" s="33" t="s">
        <v>67</v>
      </c>
      <c r="C50" s="32" t="n">
        <v>14</v>
      </c>
      <c r="D50" s="32" t="s">
        <v>14</v>
      </c>
      <c r="E50" s="32" t="s">
        <v>99</v>
      </c>
      <c r="F50" s="34" t="n">
        <v>2939</v>
      </c>
      <c r="G50" s="34" t="n">
        <v>3048</v>
      </c>
      <c r="H50" s="35" t="n">
        <v>109</v>
      </c>
      <c r="I50" s="33" t="s">
        <v>109</v>
      </c>
    </row>
    <row r="51" customFormat="false" ht="15.75" hidden="false" customHeight="true" outlineLevel="0" collapsed="false">
      <c r="A51" s="32" t="n">
        <v>48</v>
      </c>
      <c r="B51" s="33" t="s">
        <v>67</v>
      </c>
      <c r="C51" s="32" t="n">
        <v>15</v>
      </c>
      <c r="D51" s="32" t="s">
        <v>15</v>
      </c>
      <c r="E51" s="32" t="s">
        <v>100</v>
      </c>
      <c r="F51" s="34" t="n">
        <v>2941</v>
      </c>
      <c r="G51" s="34" t="n">
        <v>3051</v>
      </c>
      <c r="H51" s="35" t="n">
        <v>110</v>
      </c>
      <c r="I51" s="33" t="s">
        <v>109</v>
      </c>
    </row>
    <row r="52" customFormat="false" ht="15.75" hidden="false" customHeight="true" outlineLevel="0" collapsed="false">
      <c r="A52" s="32" t="n">
        <v>49</v>
      </c>
      <c r="B52" s="33" t="s">
        <v>67</v>
      </c>
      <c r="C52" s="32" t="n">
        <v>16</v>
      </c>
      <c r="D52" s="32" t="s">
        <v>16</v>
      </c>
      <c r="E52" s="32" t="s">
        <v>101</v>
      </c>
      <c r="F52" s="34" t="n">
        <v>2947</v>
      </c>
      <c r="G52" s="34" t="n">
        <v>3061</v>
      </c>
      <c r="H52" s="35" t="n">
        <v>114</v>
      </c>
      <c r="I52" s="33" t="s">
        <v>109</v>
      </c>
    </row>
    <row r="53" customFormat="false" ht="15.75" hidden="false" customHeight="true" outlineLevel="0" collapsed="false">
      <c r="A53" s="32" t="n">
        <v>50</v>
      </c>
      <c r="B53" s="33" t="s">
        <v>67</v>
      </c>
      <c r="C53" s="32" t="n">
        <v>17</v>
      </c>
      <c r="D53" s="32" t="s">
        <v>17</v>
      </c>
      <c r="E53" s="32" t="s">
        <v>102</v>
      </c>
      <c r="F53" s="34" t="n">
        <v>2994</v>
      </c>
      <c r="G53" s="34" t="n">
        <v>3109</v>
      </c>
      <c r="H53" s="35" t="n">
        <v>115</v>
      </c>
      <c r="I53" s="33" t="s">
        <v>109</v>
      </c>
    </row>
    <row r="54" customFormat="false" ht="15.75" hidden="false" customHeight="true" outlineLevel="0" collapsed="false">
      <c r="A54" s="32" t="n">
        <v>51</v>
      </c>
      <c r="B54" s="33" t="s">
        <v>67</v>
      </c>
      <c r="C54" s="32" t="n">
        <v>18</v>
      </c>
      <c r="D54" s="32" t="s">
        <v>18</v>
      </c>
      <c r="E54" s="32" t="s">
        <v>103</v>
      </c>
      <c r="F54" s="34" t="n">
        <v>2987</v>
      </c>
      <c r="G54" s="34" t="n">
        <v>3104</v>
      </c>
      <c r="H54" s="35" t="n">
        <v>117</v>
      </c>
      <c r="I54" s="33" t="s">
        <v>109</v>
      </c>
    </row>
    <row r="55" customFormat="false" ht="15.75" hidden="false" customHeight="true" outlineLevel="0" collapsed="false">
      <c r="A55" s="32" t="n">
        <v>52</v>
      </c>
      <c r="B55" s="33" t="s">
        <v>67</v>
      </c>
      <c r="C55" s="32" t="n">
        <v>19</v>
      </c>
      <c r="D55" s="32" t="s">
        <v>19</v>
      </c>
      <c r="E55" s="32" t="s">
        <v>104</v>
      </c>
      <c r="F55" s="34" t="n">
        <v>3149</v>
      </c>
      <c r="G55" s="34" t="n">
        <v>3268</v>
      </c>
      <c r="H55" s="35" t="n">
        <v>119</v>
      </c>
      <c r="I55" s="33" t="s">
        <v>109</v>
      </c>
    </row>
    <row r="56" customFormat="false" ht="15.75" hidden="false" customHeight="true" outlineLevel="0" collapsed="false">
      <c r="A56" s="32" t="n">
        <v>53</v>
      </c>
      <c r="B56" s="33" t="s">
        <v>67</v>
      </c>
      <c r="C56" s="32" t="n">
        <v>20</v>
      </c>
      <c r="D56" s="32" t="s">
        <v>20</v>
      </c>
      <c r="E56" s="32" t="s">
        <v>110</v>
      </c>
      <c r="F56" s="34" t="n">
        <v>3194</v>
      </c>
      <c r="G56" s="34" t="n">
        <v>3268</v>
      </c>
      <c r="H56" s="35" t="n">
        <v>74</v>
      </c>
      <c r="I56" s="33" t="s">
        <v>109</v>
      </c>
    </row>
    <row r="57" customFormat="false" ht="15.75" hidden="false" customHeight="true" outlineLevel="0" collapsed="false">
      <c r="A57" s="32" t="n">
        <v>54</v>
      </c>
      <c r="B57" s="33" t="s">
        <v>67</v>
      </c>
      <c r="C57" s="32" t="n">
        <v>21</v>
      </c>
      <c r="D57" s="32" t="s">
        <v>21</v>
      </c>
      <c r="E57" s="32" t="s">
        <v>111</v>
      </c>
      <c r="F57" s="34" t="n">
        <v>3194</v>
      </c>
      <c r="G57" s="34" t="n">
        <v>3273</v>
      </c>
      <c r="H57" s="35" t="n">
        <v>79</v>
      </c>
      <c r="I57" s="33" t="s">
        <v>109</v>
      </c>
    </row>
    <row r="58" customFormat="false" ht="15.75" hidden="false" customHeight="true" outlineLevel="0" collapsed="false">
      <c r="A58" s="32" t="n">
        <v>55</v>
      </c>
      <c r="B58" s="33" t="s">
        <v>67</v>
      </c>
      <c r="C58" s="32" t="n">
        <v>22</v>
      </c>
      <c r="D58" s="32" t="s">
        <v>22</v>
      </c>
      <c r="E58" s="32" t="s">
        <v>112</v>
      </c>
      <c r="F58" s="34" t="n">
        <v>8165</v>
      </c>
      <c r="G58" s="34" t="n">
        <v>8268</v>
      </c>
      <c r="H58" s="35" t="n">
        <v>103</v>
      </c>
      <c r="I58" s="33" t="s">
        <v>109</v>
      </c>
    </row>
    <row r="59" customFormat="false" ht="15.75" hidden="false" customHeight="true" outlineLevel="0" collapsed="false">
      <c r="A59" s="32" t="n">
        <v>56</v>
      </c>
      <c r="B59" s="33" t="s">
        <v>67</v>
      </c>
      <c r="C59" s="32" t="n">
        <v>23</v>
      </c>
      <c r="D59" s="32" t="s">
        <v>23</v>
      </c>
      <c r="E59" s="32" t="s">
        <v>113</v>
      </c>
      <c r="F59" s="34" t="n">
        <v>8344</v>
      </c>
      <c r="G59" s="34" t="n">
        <v>8404</v>
      </c>
      <c r="H59" s="35" t="n">
        <v>60</v>
      </c>
      <c r="I59" s="33" t="s">
        <v>109</v>
      </c>
    </row>
    <row r="60" customFormat="false" ht="15.75" hidden="false" customHeight="true" outlineLevel="0" collapsed="false">
      <c r="A60" s="32" t="n">
        <v>57</v>
      </c>
      <c r="B60" s="33" t="s">
        <v>67</v>
      </c>
      <c r="C60" s="32" t="n">
        <v>24</v>
      </c>
      <c r="D60" s="32" t="s">
        <v>24</v>
      </c>
      <c r="E60" s="32" t="s">
        <v>114</v>
      </c>
      <c r="F60" s="34" t="n">
        <v>8356</v>
      </c>
      <c r="G60" s="34" t="n">
        <v>8461</v>
      </c>
      <c r="H60" s="35" t="n">
        <v>105</v>
      </c>
      <c r="I60" s="33" t="s">
        <v>109</v>
      </c>
    </row>
    <row r="61" customFormat="false" ht="15.75" hidden="false" customHeight="true" outlineLevel="0" collapsed="false">
      <c r="A61" s="32" t="n">
        <v>58</v>
      </c>
      <c r="B61" s="33" t="s">
        <v>67</v>
      </c>
      <c r="C61" s="32" t="n">
        <v>25</v>
      </c>
      <c r="D61" s="32" t="s">
        <v>25</v>
      </c>
      <c r="E61" s="32" t="s">
        <v>115</v>
      </c>
      <c r="F61" s="34" t="n">
        <v>8314</v>
      </c>
      <c r="G61" s="34" t="n">
        <v>8454</v>
      </c>
      <c r="H61" s="35" t="n">
        <v>140</v>
      </c>
      <c r="I61" s="33" t="s">
        <v>109</v>
      </c>
    </row>
    <row r="62" customFormat="false" ht="15.75" hidden="false" customHeight="true" outlineLevel="0" collapsed="false">
      <c r="A62" s="32" t="n">
        <v>59</v>
      </c>
      <c r="B62" s="33" t="s">
        <v>67</v>
      </c>
      <c r="C62" s="32" t="n">
        <v>26</v>
      </c>
      <c r="D62" s="32" t="s">
        <v>26</v>
      </c>
      <c r="E62" s="32" t="s">
        <v>116</v>
      </c>
      <c r="F62" s="34" t="n">
        <v>8354</v>
      </c>
      <c r="G62" s="34" t="n">
        <v>8445</v>
      </c>
      <c r="H62" s="35" t="n">
        <v>91</v>
      </c>
      <c r="I62" s="33" t="s">
        <v>109</v>
      </c>
    </row>
    <row r="63" customFormat="false" ht="15.75" hidden="false" customHeight="true" outlineLevel="0" collapsed="false">
      <c r="A63" s="32" t="n">
        <v>60</v>
      </c>
      <c r="B63" s="33" t="s">
        <v>67</v>
      </c>
      <c r="C63" s="32" t="n">
        <v>27</v>
      </c>
      <c r="D63" s="32" t="s">
        <v>27</v>
      </c>
      <c r="E63" s="32" t="s">
        <v>117</v>
      </c>
      <c r="F63" s="34" t="n">
        <v>8361</v>
      </c>
      <c r="G63" s="34" t="n">
        <v>8470</v>
      </c>
      <c r="H63" s="35" t="n">
        <v>109</v>
      </c>
      <c r="I63" s="33" t="s">
        <v>109</v>
      </c>
    </row>
    <row r="64" customFormat="false" ht="15.75" hidden="false" customHeight="true" outlineLevel="0" collapsed="false">
      <c r="A64" s="32" t="n">
        <v>61</v>
      </c>
      <c r="B64" s="33" t="s">
        <v>67</v>
      </c>
      <c r="C64" s="32" t="n">
        <v>28</v>
      </c>
      <c r="D64" s="32" t="s">
        <v>28</v>
      </c>
      <c r="E64" s="32" t="s">
        <v>118</v>
      </c>
      <c r="F64" s="34" t="n">
        <v>8355</v>
      </c>
      <c r="G64" s="34" t="n">
        <v>8446</v>
      </c>
      <c r="H64" s="35" t="n">
        <v>91</v>
      </c>
      <c r="I64" s="33" t="s">
        <v>109</v>
      </c>
    </row>
    <row r="65" customFormat="false" ht="15.75" hidden="false" customHeight="true" outlineLevel="0" collapsed="false">
      <c r="A65" s="32" t="n">
        <v>62</v>
      </c>
      <c r="B65" s="33" t="s">
        <v>67</v>
      </c>
      <c r="C65" s="32" t="n">
        <v>29</v>
      </c>
      <c r="D65" s="32" t="s">
        <v>29</v>
      </c>
      <c r="E65" s="32" t="s">
        <v>106</v>
      </c>
      <c r="F65" s="34" t="n">
        <v>8332</v>
      </c>
      <c r="G65" s="34" t="n">
        <v>8434</v>
      </c>
      <c r="H65" s="35" t="n">
        <v>102</v>
      </c>
      <c r="I65" s="33" t="s">
        <v>109</v>
      </c>
    </row>
    <row r="66" customFormat="false" ht="15.75" hidden="false" customHeight="true" outlineLevel="0" collapsed="false">
      <c r="A66" s="32" t="n">
        <v>63</v>
      </c>
      <c r="B66" s="33" t="s">
        <v>67</v>
      </c>
      <c r="C66" s="32" t="n">
        <v>30</v>
      </c>
      <c r="D66" s="32" t="s">
        <v>30</v>
      </c>
      <c r="E66" s="32" t="s">
        <v>107</v>
      </c>
      <c r="F66" s="34" t="n">
        <v>8353</v>
      </c>
      <c r="G66" s="34" t="n">
        <v>8461</v>
      </c>
      <c r="H66" s="35" t="n">
        <v>108</v>
      </c>
      <c r="I66" s="33" t="s">
        <v>109</v>
      </c>
    </row>
    <row r="67" customFormat="false" ht="15.75" hidden="false" customHeight="true" outlineLevel="0" collapsed="false">
      <c r="A67" s="32" t="n">
        <v>64</v>
      </c>
      <c r="B67" s="33" t="s">
        <v>67</v>
      </c>
      <c r="C67" s="32" t="n">
        <v>31</v>
      </c>
      <c r="D67" s="32" t="s">
        <v>31</v>
      </c>
      <c r="E67" s="32" t="s">
        <v>108</v>
      </c>
      <c r="F67" s="34" t="n">
        <v>8357</v>
      </c>
      <c r="G67" s="34" t="n">
        <v>8463</v>
      </c>
      <c r="H67" s="35" t="n">
        <v>106</v>
      </c>
      <c r="I67" s="33" t="s">
        <v>109</v>
      </c>
    </row>
    <row r="68" customFormat="false" ht="15.75" hidden="false" customHeight="true" outlineLevel="0" collapsed="false">
      <c r="A68" s="27" t="n">
        <v>65</v>
      </c>
      <c r="B68" s="28" t="s">
        <v>68</v>
      </c>
      <c r="C68" s="27" t="n">
        <v>1</v>
      </c>
      <c r="D68" s="27" t="s">
        <v>1</v>
      </c>
      <c r="E68" s="27" t="s">
        <v>34</v>
      </c>
      <c r="F68" s="29" t="n">
        <v>210172</v>
      </c>
      <c r="G68" s="29" t="n">
        <v>0</v>
      </c>
      <c r="H68" s="30" t="n">
        <v>-210172</v>
      </c>
      <c r="I68" s="31"/>
    </row>
    <row r="69" customFormat="false" ht="15.75" hidden="false" customHeight="true" outlineLevel="0" collapsed="false">
      <c r="A69" s="27" t="n">
        <v>66</v>
      </c>
      <c r="B69" s="31" t="s">
        <v>68</v>
      </c>
      <c r="C69" s="27" t="n">
        <v>2</v>
      </c>
      <c r="D69" s="27" t="s">
        <v>2</v>
      </c>
      <c r="E69" s="27" t="s">
        <v>35</v>
      </c>
      <c r="F69" s="29" t="n">
        <v>210939</v>
      </c>
      <c r="G69" s="29" t="n">
        <v>0</v>
      </c>
      <c r="H69" s="30" t="n">
        <v>-210939</v>
      </c>
      <c r="I69" s="31"/>
    </row>
    <row r="70" customFormat="false" ht="15.75" hidden="false" customHeight="true" outlineLevel="0" collapsed="false">
      <c r="A70" s="27" t="n">
        <v>67</v>
      </c>
      <c r="B70" s="31" t="s">
        <v>68</v>
      </c>
      <c r="C70" s="27" t="n">
        <v>3</v>
      </c>
      <c r="D70" s="27" t="s">
        <v>3</v>
      </c>
      <c r="E70" s="27" t="s">
        <v>36</v>
      </c>
      <c r="F70" s="29" t="n">
        <v>214705</v>
      </c>
      <c r="G70" s="29" t="n">
        <v>0</v>
      </c>
      <c r="H70" s="30" t="n">
        <v>-214705</v>
      </c>
      <c r="I70" s="31"/>
    </row>
    <row r="71" customFormat="false" ht="15.75" hidden="false" customHeight="true" outlineLevel="0" collapsed="false">
      <c r="A71" s="27" t="n">
        <v>68</v>
      </c>
      <c r="B71" s="31" t="s">
        <v>68</v>
      </c>
      <c r="C71" s="27" t="n">
        <v>4</v>
      </c>
      <c r="D71" s="27" t="s">
        <v>4</v>
      </c>
      <c r="E71" s="27" t="s">
        <v>37</v>
      </c>
      <c r="F71" s="29" t="n">
        <v>216271</v>
      </c>
      <c r="G71" s="29" t="n">
        <v>0</v>
      </c>
      <c r="H71" s="30" t="n">
        <v>-216271</v>
      </c>
      <c r="I71" s="31"/>
    </row>
    <row r="72" customFormat="false" ht="15.75" hidden="false" customHeight="true" outlineLevel="0" collapsed="false">
      <c r="A72" s="27" t="n">
        <v>69</v>
      </c>
      <c r="B72" s="31" t="s">
        <v>68</v>
      </c>
      <c r="C72" s="27" t="n">
        <v>5</v>
      </c>
      <c r="D72" s="27" t="s">
        <v>5</v>
      </c>
      <c r="E72" s="27" t="s">
        <v>38</v>
      </c>
      <c r="F72" s="29" t="n">
        <v>219930</v>
      </c>
      <c r="G72" s="29" t="n">
        <v>0</v>
      </c>
      <c r="H72" s="30" t="n">
        <v>-219930</v>
      </c>
      <c r="I72" s="31"/>
    </row>
    <row r="73" customFormat="false" ht="15.75" hidden="false" customHeight="true" outlineLevel="0" collapsed="false">
      <c r="A73" s="27" t="n">
        <v>70</v>
      </c>
      <c r="B73" s="28" t="s">
        <v>69</v>
      </c>
      <c r="C73" s="27" t="n">
        <v>1</v>
      </c>
      <c r="D73" s="27" t="s">
        <v>1</v>
      </c>
      <c r="E73" s="27" t="s">
        <v>34</v>
      </c>
      <c r="F73" s="29" t="n">
        <v>12039</v>
      </c>
      <c r="G73" s="29" t="n">
        <v>0</v>
      </c>
      <c r="H73" s="30" t="n">
        <v>-12039</v>
      </c>
      <c r="I73" s="31" t="s">
        <v>119</v>
      </c>
    </row>
    <row r="74" customFormat="false" ht="15.75" hidden="false" customHeight="true" outlineLevel="0" collapsed="false">
      <c r="A74" s="27" t="n">
        <v>71</v>
      </c>
      <c r="B74" s="31" t="s">
        <v>69</v>
      </c>
      <c r="C74" s="27" t="n">
        <v>2</v>
      </c>
      <c r="D74" s="27" t="s">
        <v>2</v>
      </c>
      <c r="E74" s="27" t="s">
        <v>35</v>
      </c>
      <c r="F74" s="29" t="n">
        <v>12041</v>
      </c>
      <c r="G74" s="29" t="n">
        <v>0</v>
      </c>
      <c r="H74" s="30" t="n">
        <v>-12041</v>
      </c>
      <c r="I74" s="31" t="s">
        <v>119</v>
      </c>
    </row>
    <row r="75" customFormat="false" ht="15.75" hidden="false" customHeight="true" outlineLevel="0" collapsed="false">
      <c r="A75" s="27" t="n">
        <v>72</v>
      </c>
      <c r="B75" s="31" t="s">
        <v>69</v>
      </c>
      <c r="C75" s="27" t="n">
        <v>3</v>
      </c>
      <c r="D75" s="27" t="s">
        <v>3</v>
      </c>
      <c r="E75" s="27" t="s">
        <v>36</v>
      </c>
      <c r="F75" s="29" t="n">
        <v>12054</v>
      </c>
      <c r="G75" s="29" t="n">
        <v>0</v>
      </c>
      <c r="H75" s="30" t="n">
        <v>-12054</v>
      </c>
      <c r="I75" s="31" t="s">
        <v>119</v>
      </c>
    </row>
    <row r="76" customFormat="false" ht="15.75" hidden="false" customHeight="true" outlineLevel="0" collapsed="false">
      <c r="A76" s="27" t="n">
        <v>73</v>
      </c>
      <c r="B76" s="31" t="s">
        <v>69</v>
      </c>
      <c r="C76" s="27" t="n">
        <v>4</v>
      </c>
      <c r="D76" s="27" t="s">
        <v>4</v>
      </c>
      <c r="E76" s="27" t="s">
        <v>37</v>
      </c>
      <c r="F76" s="29" t="n">
        <v>12143</v>
      </c>
      <c r="G76" s="29" t="n">
        <v>0</v>
      </c>
      <c r="H76" s="30" t="n">
        <v>-12143</v>
      </c>
      <c r="I76" s="31" t="s">
        <v>119</v>
      </c>
    </row>
    <row r="77" customFormat="false" ht="15.75" hidden="false" customHeight="true" outlineLevel="0" collapsed="false">
      <c r="A77" s="27" t="n">
        <v>74</v>
      </c>
      <c r="B77" s="31" t="s">
        <v>69</v>
      </c>
      <c r="C77" s="27" t="n">
        <v>5</v>
      </c>
      <c r="D77" s="27" t="s">
        <v>5</v>
      </c>
      <c r="E77" s="27" t="s">
        <v>38</v>
      </c>
      <c r="F77" s="29" t="n">
        <v>12143</v>
      </c>
      <c r="G77" s="29" t="n">
        <v>0</v>
      </c>
      <c r="H77" s="30" t="n">
        <v>-12143</v>
      </c>
      <c r="I77" s="31" t="s">
        <v>119</v>
      </c>
    </row>
    <row r="78" customFormat="false" ht="15.75" hidden="false" customHeight="true" outlineLevel="0" collapsed="false">
      <c r="A78" s="32" t="n">
        <v>75</v>
      </c>
      <c r="B78" s="33" t="s">
        <v>69</v>
      </c>
      <c r="C78" s="32" t="n">
        <v>8</v>
      </c>
      <c r="D78" s="32" t="s">
        <v>8</v>
      </c>
      <c r="E78" s="32" t="s">
        <v>93</v>
      </c>
      <c r="F78" s="34" t="n">
        <v>12069</v>
      </c>
      <c r="G78" s="34" t="n">
        <v>12155</v>
      </c>
      <c r="H78" s="35" t="n">
        <v>86</v>
      </c>
      <c r="I78" s="33" t="s">
        <v>119</v>
      </c>
    </row>
    <row r="79" customFormat="false" ht="15.75" hidden="false" customHeight="true" outlineLevel="0" collapsed="false">
      <c r="A79" s="32" t="n">
        <v>76</v>
      </c>
      <c r="B79" s="33" t="s">
        <v>69</v>
      </c>
      <c r="C79" s="32" t="n">
        <v>9</v>
      </c>
      <c r="D79" s="32" t="s">
        <v>9</v>
      </c>
      <c r="E79" s="32" t="s">
        <v>94</v>
      </c>
      <c r="F79" s="34" t="n">
        <v>12069</v>
      </c>
      <c r="G79" s="34" t="n">
        <v>12155</v>
      </c>
      <c r="H79" s="35" t="n">
        <v>86</v>
      </c>
      <c r="I79" s="33" t="s">
        <v>119</v>
      </c>
    </row>
    <row r="80" customFormat="false" ht="15.75" hidden="false" customHeight="true" outlineLevel="0" collapsed="false">
      <c r="A80" s="32" t="n">
        <v>77</v>
      </c>
      <c r="B80" s="33" t="s">
        <v>69</v>
      </c>
      <c r="C80" s="32" t="n">
        <v>10</v>
      </c>
      <c r="D80" s="32" t="s">
        <v>10</v>
      </c>
      <c r="E80" s="32" t="s">
        <v>95</v>
      </c>
      <c r="F80" s="34" t="n">
        <v>6362</v>
      </c>
      <c r="G80" s="34" t="n">
        <v>6418</v>
      </c>
      <c r="H80" s="35" t="n">
        <v>56</v>
      </c>
      <c r="I80" s="33" t="s">
        <v>119</v>
      </c>
    </row>
    <row r="81" customFormat="false" ht="15.75" hidden="false" customHeight="true" outlineLevel="0" collapsed="false">
      <c r="A81" s="32" t="n">
        <v>78</v>
      </c>
      <c r="B81" s="33" t="s">
        <v>69</v>
      </c>
      <c r="C81" s="32" t="n">
        <v>11</v>
      </c>
      <c r="D81" s="32" t="s">
        <v>11</v>
      </c>
      <c r="E81" s="32" t="s">
        <v>96</v>
      </c>
      <c r="F81" s="34" t="n">
        <v>9543</v>
      </c>
      <c r="G81" s="34" t="n">
        <v>9642</v>
      </c>
      <c r="H81" s="35" t="n">
        <v>99</v>
      </c>
      <c r="I81" s="33" t="s">
        <v>119</v>
      </c>
    </row>
    <row r="82" customFormat="false" ht="15.75" hidden="false" customHeight="true" outlineLevel="0" collapsed="false">
      <c r="A82" s="32" t="n">
        <v>79</v>
      </c>
      <c r="B82" s="33" t="s">
        <v>69</v>
      </c>
      <c r="C82" s="32" t="n">
        <v>12</v>
      </c>
      <c r="D82" s="32" t="s">
        <v>12</v>
      </c>
      <c r="E82" s="32" t="s">
        <v>97</v>
      </c>
      <c r="F82" s="34" t="n">
        <v>10571</v>
      </c>
      <c r="G82" s="34" t="n">
        <v>10684</v>
      </c>
      <c r="H82" s="35" t="n">
        <v>113</v>
      </c>
      <c r="I82" s="33" t="s">
        <v>119</v>
      </c>
    </row>
    <row r="83" customFormat="false" ht="15.75" hidden="false" customHeight="true" outlineLevel="0" collapsed="false">
      <c r="A83" s="32" t="n">
        <v>80</v>
      </c>
      <c r="B83" s="33" t="s">
        <v>69</v>
      </c>
      <c r="C83" s="32" t="n">
        <v>13</v>
      </c>
      <c r="D83" s="32" t="s">
        <v>13</v>
      </c>
      <c r="E83" s="32" t="s">
        <v>98</v>
      </c>
      <c r="F83" s="34" t="n">
        <v>10821</v>
      </c>
      <c r="G83" s="34" t="n">
        <v>10946</v>
      </c>
      <c r="H83" s="35" t="n">
        <v>125</v>
      </c>
      <c r="I83" s="33" t="s">
        <v>119</v>
      </c>
    </row>
    <row r="84" customFormat="false" ht="15.75" hidden="false" customHeight="true" outlineLevel="0" collapsed="false">
      <c r="A84" s="32" t="n">
        <v>81</v>
      </c>
      <c r="B84" s="33" t="s">
        <v>69</v>
      </c>
      <c r="C84" s="32" t="n">
        <v>14</v>
      </c>
      <c r="D84" s="32" t="s">
        <v>14</v>
      </c>
      <c r="E84" s="32" t="s">
        <v>99</v>
      </c>
      <c r="F84" s="34" t="n">
        <v>10850</v>
      </c>
      <c r="G84" s="34" t="n">
        <v>11000</v>
      </c>
      <c r="H84" s="35" t="n">
        <v>150</v>
      </c>
      <c r="I84" s="33" t="s">
        <v>119</v>
      </c>
    </row>
    <row r="85" customFormat="false" ht="15.75" hidden="false" customHeight="true" outlineLevel="0" collapsed="false">
      <c r="A85" s="32" t="n">
        <v>82</v>
      </c>
      <c r="B85" s="33" t="s">
        <v>69</v>
      </c>
      <c r="C85" s="32" t="n">
        <v>15</v>
      </c>
      <c r="D85" s="32" t="s">
        <v>15</v>
      </c>
      <c r="E85" s="32" t="s">
        <v>100</v>
      </c>
      <c r="F85" s="34" t="n">
        <v>10862</v>
      </c>
      <c r="G85" s="34" t="n">
        <v>11018</v>
      </c>
      <c r="H85" s="35" t="n">
        <v>156</v>
      </c>
      <c r="I85" s="33" t="s">
        <v>119</v>
      </c>
    </row>
    <row r="86" customFormat="false" ht="15.75" hidden="false" customHeight="true" outlineLevel="0" collapsed="false">
      <c r="A86" s="32" t="n">
        <v>83</v>
      </c>
      <c r="B86" s="33" t="s">
        <v>69</v>
      </c>
      <c r="C86" s="32" t="n">
        <v>16</v>
      </c>
      <c r="D86" s="32" t="s">
        <v>16</v>
      </c>
      <c r="E86" s="32" t="s">
        <v>101</v>
      </c>
      <c r="F86" s="34" t="n">
        <v>10876</v>
      </c>
      <c r="G86" s="34" t="n">
        <v>11038</v>
      </c>
      <c r="H86" s="35" t="n">
        <v>162</v>
      </c>
      <c r="I86" s="33" t="s">
        <v>119</v>
      </c>
    </row>
    <row r="87" customFormat="false" ht="15.75" hidden="false" customHeight="true" outlineLevel="0" collapsed="false">
      <c r="A87" s="32" t="n">
        <v>84</v>
      </c>
      <c r="B87" s="33" t="s">
        <v>69</v>
      </c>
      <c r="C87" s="32" t="n">
        <v>17</v>
      </c>
      <c r="D87" s="32" t="s">
        <v>17</v>
      </c>
      <c r="E87" s="32" t="s">
        <v>102</v>
      </c>
      <c r="F87" s="34" t="n">
        <v>4304</v>
      </c>
      <c r="G87" s="34" t="n">
        <v>5174</v>
      </c>
      <c r="H87" s="35" t="n">
        <v>870</v>
      </c>
      <c r="I87" s="33" t="s">
        <v>119</v>
      </c>
    </row>
    <row r="88" customFormat="false" ht="15.75" hidden="false" customHeight="true" outlineLevel="0" collapsed="false">
      <c r="A88" s="32" t="n">
        <v>85</v>
      </c>
      <c r="B88" s="33" t="s">
        <v>69</v>
      </c>
      <c r="C88" s="32" t="n">
        <v>18</v>
      </c>
      <c r="D88" s="32" t="s">
        <v>18</v>
      </c>
      <c r="E88" s="32" t="s">
        <v>103</v>
      </c>
      <c r="F88" s="34" t="n">
        <v>6295</v>
      </c>
      <c r="G88" s="34" t="n">
        <v>7491</v>
      </c>
      <c r="H88" s="35" t="n">
        <v>1196</v>
      </c>
      <c r="I88" s="33" t="s">
        <v>119</v>
      </c>
    </row>
    <row r="89" customFormat="false" ht="15.75" hidden="false" customHeight="true" outlineLevel="0" collapsed="false">
      <c r="A89" s="32" t="n">
        <v>86</v>
      </c>
      <c r="B89" s="33" t="s">
        <v>69</v>
      </c>
      <c r="C89" s="32" t="n">
        <v>19</v>
      </c>
      <c r="D89" s="32" t="s">
        <v>19</v>
      </c>
      <c r="E89" s="32" t="s">
        <v>104</v>
      </c>
      <c r="F89" s="34" t="n">
        <v>12187</v>
      </c>
      <c r="G89" s="34" t="n">
        <v>13740</v>
      </c>
      <c r="H89" s="35" t="n">
        <v>1553</v>
      </c>
      <c r="I89" s="33" t="s">
        <v>119</v>
      </c>
    </row>
    <row r="90" customFormat="false" ht="15.75" hidden="false" customHeight="true" outlineLevel="0" collapsed="false">
      <c r="A90" s="32" t="n">
        <v>87</v>
      </c>
      <c r="B90" s="33" t="s">
        <v>69</v>
      </c>
      <c r="C90" s="32" t="n">
        <v>20</v>
      </c>
      <c r="D90" s="32" t="s">
        <v>20</v>
      </c>
      <c r="E90" s="32" t="s">
        <v>110</v>
      </c>
      <c r="F90" s="34" t="n">
        <v>12187</v>
      </c>
      <c r="G90" s="34" t="n">
        <v>14098</v>
      </c>
      <c r="H90" s="35" t="n">
        <v>1911</v>
      </c>
      <c r="I90" s="33" t="s">
        <v>119</v>
      </c>
    </row>
    <row r="91" customFormat="false" ht="15.75" hidden="false" customHeight="true" outlineLevel="0" collapsed="false">
      <c r="A91" s="32" t="n">
        <v>88</v>
      </c>
      <c r="B91" s="33" t="s">
        <v>69</v>
      </c>
      <c r="C91" s="32" t="n">
        <v>21</v>
      </c>
      <c r="D91" s="32" t="s">
        <v>21</v>
      </c>
      <c r="E91" s="32" t="s">
        <v>111</v>
      </c>
      <c r="F91" s="34" t="n">
        <v>12187</v>
      </c>
      <c r="G91" s="34" t="n">
        <v>14456</v>
      </c>
      <c r="H91" s="35" t="n">
        <v>2269</v>
      </c>
      <c r="I91" s="33" t="s">
        <v>119</v>
      </c>
    </row>
    <row r="92" customFormat="false" ht="15.75" hidden="false" customHeight="true" outlineLevel="0" collapsed="false">
      <c r="A92" s="32" t="n">
        <v>89</v>
      </c>
      <c r="B92" s="33" t="s">
        <v>69</v>
      </c>
      <c r="C92" s="32" t="n">
        <v>22</v>
      </c>
      <c r="D92" s="32" t="s">
        <v>22</v>
      </c>
      <c r="E92" s="32" t="s">
        <v>112</v>
      </c>
      <c r="F92" s="34" t="n">
        <v>13875</v>
      </c>
      <c r="G92" s="34" t="n">
        <v>14386</v>
      </c>
      <c r="H92" s="35" t="n">
        <v>511</v>
      </c>
      <c r="I92" s="33" t="s">
        <v>119</v>
      </c>
    </row>
    <row r="93" customFormat="false" ht="15.75" hidden="false" customHeight="true" outlineLevel="0" collapsed="false">
      <c r="A93" s="32" t="n">
        <v>90</v>
      </c>
      <c r="B93" s="33" t="s">
        <v>69</v>
      </c>
      <c r="C93" s="32" t="n">
        <v>26</v>
      </c>
      <c r="D93" s="32" t="s">
        <v>26</v>
      </c>
      <c r="E93" s="32" t="s">
        <v>116</v>
      </c>
      <c r="F93" s="34" t="n">
        <v>27598</v>
      </c>
      <c r="G93" s="34" t="n">
        <v>28571</v>
      </c>
      <c r="H93" s="35" t="n">
        <v>973</v>
      </c>
      <c r="I93" s="33" t="s">
        <v>119</v>
      </c>
    </row>
    <row r="94" customFormat="false" ht="15.75" hidden="false" customHeight="true" outlineLevel="0" collapsed="false">
      <c r="A94" s="32" t="n">
        <v>91</v>
      </c>
      <c r="B94" s="33" t="s">
        <v>69</v>
      </c>
      <c r="C94" s="32" t="n">
        <v>27</v>
      </c>
      <c r="D94" s="32" t="s">
        <v>27</v>
      </c>
      <c r="E94" s="32" t="s">
        <v>117</v>
      </c>
      <c r="F94" s="34" t="n">
        <v>28030</v>
      </c>
      <c r="G94" s="34" t="n">
        <v>29071</v>
      </c>
      <c r="H94" s="35" t="n">
        <v>1041</v>
      </c>
      <c r="I94" s="33" t="s">
        <v>119</v>
      </c>
    </row>
    <row r="95" customFormat="false" ht="15.75" hidden="false" customHeight="true" outlineLevel="0" collapsed="false">
      <c r="A95" s="32" t="n">
        <v>92</v>
      </c>
      <c r="B95" s="33" t="s">
        <v>69</v>
      </c>
      <c r="C95" s="32" t="n">
        <v>28</v>
      </c>
      <c r="D95" s="32" t="s">
        <v>28</v>
      </c>
      <c r="E95" s="32" t="s">
        <v>118</v>
      </c>
      <c r="F95" s="34" t="n">
        <v>28767</v>
      </c>
      <c r="G95" s="34" t="n">
        <v>29884</v>
      </c>
      <c r="H95" s="35" t="n">
        <v>1117</v>
      </c>
      <c r="I95" s="33" t="s">
        <v>119</v>
      </c>
    </row>
    <row r="96" customFormat="false" ht="15.75" hidden="false" customHeight="true" outlineLevel="0" collapsed="false">
      <c r="A96" s="32" t="n">
        <v>93</v>
      </c>
      <c r="B96" s="33" t="s">
        <v>69</v>
      </c>
      <c r="C96" s="32" t="n">
        <v>29</v>
      </c>
      <c r="D96" s="32" t="s">
        <v>29</v>
      </c>
      <c r="E96" s="32" t="s">
        <v>106</v>
      </c>
      <c r="F96" s="34" t="n">
        <v>29755</v>
      </c>
      <c r="G96" s="34" t="n">
        <v>30946</v>
      </c>
      <c r="H96" s="35" t="n">
        <v>1191</v>
      </c>
      <c r="I96" s="33" t="s">
        <v>119</v>
      </c>
    </row>
    <row r="97" customFormat="false" ht="15.75" hidden="false" customHeight="true" outlineLevel="0" collapsed="false">
      <c r="A97" s="32" t="n">
        <v>94</v>
      </c>
      <c r="B97" s="33" t="s">
        <v>69</v>
      </c>
      <c r="C97" s="32" t="n">
        <v>30</v>
      </c>
      <c r="D97" s="32" t="s">
        <v>30</v>
      </c>
      <c r="E97" s="32" t="s">
        <v>107</v>
      </c>
      <c r="F97" s="34" t="n">
        <v>30337</v>
      </c>
      <c r="G97" s="34" t="n">
        <v>31583</v>
      </c>
      <c r="H97" s="35" t="n">
        <v>1246</v>
      </c>
      <c r="I97" s="33" t="s">
        <v>119</v>
      </c>
    </row>
    <row r="98" customFormat="false" ht="15.75" hidden="false" customHeight="true" outlineLevel="0" collapsed="false">
      <c r="A98" s="32" t="n">
        <v>95</v>
      </c>
      <c r="B98" s="33" t="s">
        <v>69</v>
      </c>
      <c r="C98" s="32" t="n">
        <v>31</v>
      </c>
      <c r="D98" s="32" t="s">
        <v>31</v>
      </c>
      <c r="E98" s="32" t="s">
        <v>108</v>
      </c>
      <c r="F98" s="34" t="n">
        <v>30873</v>
      </c>
      <c r="G98" s="34" t="n">
        <v>32122</v>
      </c>
      <c r="H98" s="35" t="n">
        <v>1249</v>
      </c>
      <c r="I98" s="33" t="s">
        <v>119</v>
      </c>
    </row>
    <row r="99" customFormat="false" ht="15.75" hidden="false" customHeight="true" outlineLevel="0" collapsed="false">
      <c r="A99" s="27" t="n">
        <v>96</v>
      </c>
      <c r="B99" s="28" t="s">
        <v>70</v>
      </c>
      <c r="C99" s="27" t="n">
        <v>1</v>
      </c>
      <c r="D99" s="27" t="s">
        <v>1</v>
      </c>
      <c r="E99" s="27" t="s">
        <v>34</v>
      </c>
      <c r="F99" s="29" t="n">
        <v>704923</v>
      </c>
      <c r="G99" s="29" t="n">
        <v>0</v>
      </c>
      <c r="H99" s="30" t="n">
        <v>-704923</v>
      </c>
      <c r="I99" s="31" t="s">
        <v>120</v>
      </c>
    </row>
    <row r="100" customFormat="false" ht="15.75" hidden="false" customHeight="true" outlineLevel="0" collapsed="false">
      <c r="A100" s="27" t="n">
        <v>97</v>
      </c>
      <c r="B100" s="31" t="s">
        <v>70</v>
      </c>
      <c r="C100" s="27" t="n">
        <v>2</v>
      </c>
      <c r="D100" s="27" t="s">
        <v>2</v>
      </c>
      <c r="E100" s="27" t="s">
        <v>35</v>
      </c>
      <c r="F100" s="29" t="n">
        <v>880993</v>
      </c>
      <c r="G100" s="29" t="n">
        <v>0</v>
      </c>
      <c r="H100" s="30" t="n">
        <v>-880993</v>
      </c>
      <c r="I100" s="31" t="s">
        <v>120</v>
      </c>
    </row>
    <row r="101" customFormat="false" ht="15.75" hidden="false" customHeight="true" outlineLevel="0" collapsed="false">
      <c r="A101" s="27" t="n">
        <v>98</v>
      </c>
      <c r="B101" s="31" t="s">
        <v>70</v>
      </c>
      <c r="C101" s="27" t="n">
        <v>3</v>
      </c>
      <c r="D101" s="27" t="s">
        <v>3</v>
      </c>
      <c r="E101" s="27" t="s">
        <v>36</v>
      </c>
      <c r="F101" s="29" t="n">
        <v>617848</v>
      </c>
      <c r="G101" s="29" t="n">
        <v>0</v>
      </c>
      <c r="H101" s="30" t="n">
        <v>-617848</v>
      </c>
      <c r="I101" s="31" t="s">
        <v>120</v>
      </c>
    </row>
    <row r="102" customFormat="false" ht="15.75" hidden="false" customHeight="true" outlineLevel="0" collapsed="false">
      <c r="A102" s="27" t="n">
        <v>99</v>
      </c>
      <c r="B102" s="31" t="s">
        <v>70</v>
      </c>
      <c r="C102" s="27" t="n">
        <v>4</v>
      </c>
      <c r="D102" s="27" t="s">
        <v>4</v>
      </c>
      <c r="E102" s="27" t="s">
        <v>37</v>
      </c>
      <c r="F102" s="29" t="n">
        <v>627937</v>
      </c>
      <c r="G102" s="29" t="n">
        <v>0</v>
      </c>
      <c r="H102" s="30" t="n">
        <v>-627937</v>
      </c>
      <c r="I102" s="31" t="s">
        <v>120</v>
      </c>
    </row>
    <row r="103" customFormat="false" ht="15.75" hidden="false" customHeight="true" outlineLevel="0" collapsed="false">
      <c r="A103" s="27" t="n">
        <v>100</v>
      </c>
      <c r="B103" s="31" t="s">
        <v>70</v>
      </c>
      <c r="C103" s="27" t="n">
        <v>5</v>
      </c>
      <c r="D103" s="27" t="s">
        <v>5</v>
      </c>
      <c r="E103" s="27" t="s">
        <v>38</v>
      </c>
      <c r="F103" s="29" t="n">
        <v>385760</v>
      </c>
      <c r="G103" s="29" t="n">
        <v>0</v>
      </c>
      <c r="H103" s="30" t="n">
        <v>-385760</v>
      </c>
      <c r="I103" s="31" t="s">
        <v>120</v>
      </c>
    </row>
    <row r="104" customFormat="false" ht="15.75" hidden="false" customHeight="true" outlineLevel="0" collapsed="false">
      <c r="A104" s="32" t="n">
        <v>101</v>
      </c>
      <c r="B104" s="33" t="s">
        <v>70</v>
      </c>
      <c r="C104" s="32" t="n">
        <v>8</v>
      </c>
      <c r="D104" s="32" t="s">
        <v>8</v>
      </c>
      <c r="E104" s="32" t="s">
        <v>93</v>
      </c>
      <c r="F104" s="34" t="n">
        <v>257008</v>
      </c>
      <c r="G104" s="34" t="n">
        <v>514016</v>
      </c>
      <c r="H104" s="35" t="n">
        <v>257008</v>
      </c>
      <c r="I104" s="33" t="s">
        <v>120</v>
      </c>
    </row>
    <row r="105" customFormat="false" ht="15.75" hidden="false" customHeight="true" outlineLevel="0" collapsed="false">
      <c r="A105" s="32" t="n">
        <v>102</v>
      </c>
      <c r="B105" s="33" t="s">
        <v>70</v>
      </c>
      <c r="C105" s="32" t="n">
        <v>9</v>
      </c>
      <c r="D105" s="32" t="s">
        <v>9</v>
      </c>
      <c r="E105" s="32" t="s">
        <v>94</v>
      </c>
      <c r="F105" s="34" t="n">
        <v>257184</v>
      </c>
      <c r="G105" s="34" t="n">
        <v>514368</v>
      </c>
      <c r="H105" s="35" t="n">
        <v>257184</v>
      </c>
      <c r="I105" s="33" t="s">
        <v>120</v>
      </c>
    </row>
    <row r="106" customFormat="false" ht="15.75" hidden="false" customHeight="true" outlineLevel="0" collapsed="false">
      <c r="A106" s="32" t="n">
        <v>103</v>
      </c>
      <c r="B106" s="33" t="s">
        <v>70</v>
      </c>
      <c r="C106" s="32" t="n">
        <v>10</v>
      </c>
      <c r="D106" s="32" t="s">
        <v>10</v>
      </c>
      <c r="E106" s="32" t="s">
        <v>95</v>
      </c>
      <c r="F106" s="34" t="n">
        <v>257228</v>
      </c>
      <c r="G106" s="34" t="n">
        <v>514456</v>
      </c>
      <c r="H106" s="35" t="n">
        <v>257228</v>
      </c>
      <c r="I106" s="33" t="s">
        <v>120</v>
      </c>
    </row>
    <row r="107" customFormat="false" ht="15.75" hidden="false" customHeight="true" outlineLevel="0" collapsed="false">
      <c r="A107" s="32" t="n">
        <v>104</v>
      </c>
      <c r="B107" s="33" t="s">
        <v>70</v>
      </c>
      <c r="C107" s="32" t="n">
        <v>11</v>
      </c>
      <c r="D107" s="32" t="s">
        <v>11</v>
      </c>
      <c r="E107" s="32" t="s">
        <v>96</v>
      </c>
      <c r="F107" s="34" t="n">
        <v>280482</v>
      </c>
      <c r="G107" s="34" t="n">
        <v>601530</v>
      </c>
      <c r="H107" s="35" t="n">
        <v>321048</v>
      </c>
      <c r="I107" s="33" t="s">
        <v>120</v>
      </c>
    </row>
    <row r="108" customFormat="false" ht="15.75" hidden="false" customHeight="true" outlineLevel="0" collapsed="false">
      <c r="A108" s="32" t="n">
        <v>105</v>
      </c>
      <c r="B108" s="33" t="s">
        <v>70</v>
      </c>
      <c r="C108" s="32" t="n">
        <v>12</v>
      </c>
      <c r="D108" s="32" t="s">
        <v>12</v>
      </c>
      <c r="E108" s="32" t="s">
        <v>97</v>
      </c>
      <c r="F108" s="34" t="n">
        <v>281141</v>
      </c>
      <c r="G108" s="34" t="n">
        <v>602598</v>
      </c>
      <c r="H108" s="35" t="n">
        <v>321457</v>
      </c>
      <c r="I108" s="33" t="s">
        <v>120</v>
      </c>
    </row>
    <row r="109" customFormat="false" ht="15.75" hidden="false" customHeight="true" outlineLevel="0" collapsed="false">
      <c r="A109" s="32" t="n">
        <v>106</v>
      </c>
      <c r="B109" s="33" t="s">
        <v>70</v>
      </c>
      <c r="C109" s="32" t="n">
        <v>13</v>
      </c>
      <c r="D109" s="32" t="s">
        <v>13</v>
      </c>
      <c r="E109" s="32" t="s">
        <v>98</v>
      </c>
      <c r="F109" s="34" t="n">
        <v>281687</v>
      </c>
      <c r="G109" s="34" t="n">
        <v>603660</v>
      </c>
      <c r="H109" s="35" t="n">
        <v>321973</v>
      </c>
      <c r="I109" s="33" t="s">
        <v>120</v>
      </c>
    </row>
    <row r="110" customFormat="false" ht="15.75" hidden="false" customHeight="true" outlineLevel="0" collapsed="false">
      <c r="A110" s="32" t="n">
        <v>107</v>
      </c>
      <c r="B110" s="33" t="s">
        <v>70</v>
      </c>
      <c r="C110" s="32" t="n">
        <v>14</v>
      </c>
      <c r="D110" s="32" t="s">
        <v>14</v>
      </c>
      <c r="E110" s="32" t="s">
        <v>99</v>
      </c>
      <c r="F110" s="34" t="n">
        <v>283518</v>
      </c>
      <c r="G110" s="34" t="n">
        <v>607435</v>
      </c>
      <c r="H110" s="35" t="n">
        <v>323917</v>
      </c>
      <c r="I110" s="33" t="s">
        <v>120</v>
      </c>
    </row>
    <row r="111" customFormat="false" ht="15.75" hidden="false" customHeight="true" outlineLevel="0" collapsed="false">
      <c r="A111" s="32" t="n">
        <v>108</v>
      </c>
      <c r="B111" s="33" t="s">
        <v>70</v>
      </c>
      <c r="C111" s="32" t="n">
        <v>15</v>
      </c>
      <c r="D111" s="32" t="s">
        <v>15</v>
      </c>
      <c r="E111" s="32" t="s">
        <v>100</v>
      </c>
      <c r="F111" s="34" t="n">
        <v>284266</v>
      </c>
      <c r="G111" s="34" t="n">
        <v>609209</v>
      </c>
      <c r="H111" s="35" t="n">
        <v>324943</v>
      </c>
      <c r="I111" s="33" t="s">
        <v>120</v>
      </c>
    </row>
    <row r="112" customFormat="false" ht="15.75" hidden="false" customHeight="true" outlineLevel="0" collapsed="false">
      <c r="A112" s="32" t="n">
        <v>109</v>
      </c>
      <c r="B112" s="33" t="s">
        <v>70</v>
      </c>
      <c r="C112" s="32" t="n">
        <v>16</v>
      </c>
      <c r="D112" s="32" t="s">
        <v>16</v>
      </c>
      <c r="E112" s="32" t="s">
        <v>101</v>
      </c>
      <c r="F112" s="34" t="n">
        <v>285485</v>
      </c>
      <c r="G112" s="34" t="n">
        <v>611285</v>
      </c>
      <c r="H112" s="35" t="n">
        <v>325800</v>
      </c>
      <c r="I112" s="33" t="s">
        <v>120</v>
      </c>
    </row>
    <row r="113" customFormat="false" ht="15.75" hidden="false" customHeight="true" outlineLevel="0" collapsed="false">
      <c r="A113" s="32" t="n">
        <v>110</v>
      </c>
      <c r="B113" s="33" t="s">
        <v>70</v>
      </c>
      <c r="C113" s="32" t="n">
        <v>17</v>
      </c>
      <c r="D113" s="32" t="s">
        <v>17</v>
      </c>
      <c r="E113" s="32" t="s">
        <v>102</v>
      </c>
      <c r="F113" s="34" t="n">
        <v>285945</v>
      </c>
      <c r="G113" s="34" t="n">
        <v>612545</v>
      </c>
      <c r="H113" s="35" t="n">
        <v>326600</v>
      </c>
      <c r="I113" s="33" t="s">
        <v>120</v>
      </c>
    </row>
    <row r="114" customFormat="false" ht="15.75" hidden="false" customHeight="true" outlineLevel="0" collapsed="false">
      <c r="A114" s="32" t="n">
        <v>111</v>
      </c>
      <c r="B114" s="33" t="s">
        <v>70</v>
      </c>
      <c r="C114" s="32" t="n">
        <v>18</v>
      </c>
      <c r="D114" s="32" t="s">
        <v>18</v>
      </c>
      <c r="E114" s="32" t="s">
        <v>103</v>
      </c>
      <c r="F114" s="34" t="n">
        <v>286405</v>
      </c>
      <c r="G114" s="34" t="n">
        <v>614553</v>
      </c>
      <c r="H114" s="35" t="n">
        <v>328148</v>
      </c>
      <c r="I114" s="33" t="s">
        <v>120</v>
      </c>
    </row>
    <row r="115" customFormat="false" ht="15.75" hidden="false" customHeight="true" outlineLevel="0" collapsed="false">
      <c r="A115" s="32" t="n">
        <v>112</v>
      </c>
      <c r="B115" s="33" t="s">
        <v>70</v>
      </c>
      <c r="C115" s="32" t="n">
        <v>19</v>
      </c>
      <c r="D115" s="32" t="s">
        <v>19</v>
      </c>
      <c r="E115" s="32" t="s">
        <v>104</v>
      </c>
      <c r="F115" s="34" t="n">
        <v>287724</v>
      </c>
      <c r="G115" s="34" t="n">
        <v>617285</v>
      </c>
      <c r="H115" s="35" t="n">
        <v>329561</v>
      </c>
      <c r="I115" s="33" t="s">
        <v>120</v>
      </c>
    </row>
    <row r="116" customFormat="false" ht="15.75" hidden="false" customHeight="true" outlineLevel="0" collapsed="false">
      <c r="A116" s="32" t="n">
        <v>113</v>
      </c>
      <c r="B116" s="33" t="s">
        <v>70</v>
      </c>
      <c r="C116" s="32" t="n">
        <v>20</v>
      </c>
      <c r="D116" s="32" t="s">
        <v>20</v>
      </c>
      <c r="E116" s="32" t="s">
        <v>110</v>
      </c>
      <c r="F116" s="34" t="n">
        <v>290225</v>
      </c>
      <c r="G116" s="34" t="n">
        <v>619770</v>
      </c>
      <c r="H116" s="35" t="n">
        <v>329545</v>
      </c>
      <c r="I116" s="33" t="s">
        <v>120</v>
      </c>
    </row>
    <row r="117" customFormat="false" ht="15.75" hidden="false" customHeight="true" outlineLevel="0" collapsed="false">
      <c r="A117" s="32" t="n">
        <v>114</v>
      </c>
      <c r="B117" s="33" t="s">
        <v>70</v>
      </c>
      <c r="C117" s="32" t="n">
        <v>21</v>
      </c>
      <c r="D117" s="32" t="s">
        <v>21</v>
      </c>
      <c r="E117" s="32" t="s">
        <v>111</v>
      </c>
      <c r="F117" s="34" t="n">
        <v>289798</v>
      </c>
      <c r="G117" s="34" t="n">
        <v>620656</v>
      </c>
      <c r="H117" s="35" t="n">
        <v>330858</v>
      </c>
      <c r="I117" s="33" t="s">
        <v>120</v>
      </c>
    </row>
    <row r="118" customFormat="false" ht="15.75" hidden="false" customHeight="true" outlineLevel="0" collapsed="false">
      <c r="A118" s="32" t="n">
        <v>115</v>
      </c>
      <c r="B118" s="33" t="s">
        <v>70</v>
      </c>
      <c r="C118" s="32" t="n">
        <v>22</v>
      </c>
      <c r="D118" s="32" t="s">
        <v>22</v>
      </c>
      <c r="E118" s="32" t="s">
        <v>112</v>
      </c>
      <c r="F118" s="34" t="n">
        <v>290431</v>
      </c>
      <c r="G118" s="34" t="n">
        <v>621824</v>
      </c>
      <c r="H118" s="35" t="n">
        <v>331393</v>
      </c>
      <c r="I118" s="33" t="s">
        <v>120</v>
      </c>
    </row>
    <row r="119" customFormat="false" ht="15.75" hidden="false" customHeight="true" outlineLevel="0" collapsed="false">
      <c r="A119" s="32" t="n">
        <v>116</v>
      </c>
      <c r="B119" s="33" t="s">
        <v>70</v>
      </c>
      <c r="C119" s="32" t="n">
        <v>23</v>
      </c>
      <c r="D119" s="32" t="s">
        <v>23</v>
      </c>
      <c r="E119" s="32" t="s">
        <v>113</v>
      </c>
      <c r="F119" s="34" t="n">
        <v>291279</v>
      </c>
      <c r="G119" s="34" t="n">
        <v>623334</v>
      </c>
      <c r="H119" s="35" t="n">
        <v>332055</v>
      </c>
      <c r="I119" s="33" t="s">
        <v>120</v>
      </c>
    </row>
    <row r="120" customFormat="false" ht="15.75" hidden="false" customHeight="true" outlineLevel="0" collapsed="false">
      <c r="A120" s="32" t="n">
        <v>117</v>
      </c>
      <c r="B120" s="33" t="s">
        <v>70</v>
      </c>
      <c r="C120" s="32" t="n">
        <v>24</v>
      </c>
      <c r="D120" s="32" t="s">
        <v>24</v>
      </c>
      <c r="E120" s="32" t="s">
        <v>114</v>
      </c>
      <c r="F120" s="34" t="n">
        <v>292403</v>
      </c>
      <c r="G120" s="34" t="n">
        <v>624468</v>
      </c>
      <c r="H120" s="35" t="n">
        <v>332065</v>
      </c>
      <c r="I120" s="33" t="s">
        <v>120</v>
      </c>
    </row>
    <row r="121" customFormat="false" ht="15.75" hidden="false" customHeight="true" outlineLevel="0" collapsed="false">
      <c r="A121" s="32" t="n">
        <v>118</v>
      </c>
      <c r="B121" s="33" t="s">
        <v>70</v>
      </c>
      <c r="C121" s="32" t="n">
        <v>25</v>
      </c>
      <c r="D121" s="32" t="s">
        <v>25</v>
      </c>
      <c r="E121" s="32" t="s">
        <v>115</v>
      </c>
      <c r="F121" s="34" t="n">
        <v>292222</v>
      </c>
      <c r="G121" s="34" t="n">
        <v>625619</v>
      </c>
      <c r="H121" s="35" t="n">
        <v>333397</v>
      </c>
      <c r="I121" s="33" t="s">
        <v>120</v>
      </c>
    </row>
    <row r="122" customFormat="false" ht="15.75" hidden="false" customHeight="true" outlineLevel="0" collapsed="false">
      <c r="A122" s="32" t="n">
        <v>119</v>
      </c>
      <c r="B122" s="33" t="s">
        <v>70</v>
      </c>
      <c r="C122" s="32" t="n">
        <v>26</v>
      </c>
      <c r="D122" s="32" t="s">
        <v>26</v>
      </c>
      <c r="E122" s="32" t="s">
        <v>116</v>
      </c>
      <c r="F122" s="34" t="n">
        <v>293242</v>
      </c>
      <c r="G122" s="34" t="n">
        <v>627361</v>
      </c>
      <c r="H122" s="35" t="n">
        <v>334119</v>
      </c>
      <c r="I122" s="33" t="s">
        <v>120</v>
      </c>
    </row>
    <row r="123" customFormat="false" ht="15.75" hidden="false" customHeight="true" outlineLevel="0" collapsed="false">
      <c r="A123" s="32" t="n">
        <v>120</v>
      </c>
      <c r="B123" s="33" t="s">
        <v>70</v>
      </c>
      <c r="C123" s="32" t="n">
        <v>27</v>
      </c>
      <c r="D123" s="32" t="s">
        <v>27</v>
      </c>
      <c r="E123" s="32" t="s">
        <v>117</v>
      </c>
      <c r="F123" s="34" t="n">
        <v>319509</v>
      </c>
      <c r="G123" s="34" t="n">
        <v>654615</v>
      </c>
      <c r="H123" s="35" t="n">
        <v>335106</v>
      </c>
      <c r="I123" s="33" t="s">
        <v>120</v>
      </c>
    </row>
    <row r="124" customFormat="false" ht="15.75" hidden="false" customHeight="true" outlineLevel="0" collapsed="false">
      <c r="A124" s="32" t="n">
        <v>121</v>
      </c>
      <c r="B124" s="33" t="s">
        <v>70</v>
      </c>
      <c r="C124" s="32" t="n">
        <v>28</v>
      </c>
      <c r="D124" s="32" t="s">
        <v>28</v>
      </c>
      <c r="E124" s="32" t="s">
        <v>118</v>
      </c>
      <c r="F124" s="34" t="n">
        <v>348491</v>
      </c>
      <c r="G124" s="34" t="n">
        <v>706382</v>
      </c>
      <c r="H124" s="35" t="n">
        <v>357891</v>
      </c>
      <c r="I124" s="33" t="s">
        <v>120</v>
      </c>
    </row>
    <row r="125" customFormat="false" ht="15.75" hidden="false" customHeight="true" outlineLevel="0" collapsed="false">
      <c r="A125" s="32" t="n">
        <v>122</v>
      </c>
      <c r="B125" s="33" t="s">
        <v>70</v>
      </c>
      <c r="C125" s="32" t="n">
        <v>29</v>
      </c>
      <c r="D125" s="32" t="s">
        <v>29</v>
      </c>
      <c r="E125" s="32" t="s">
        <v>106</v>
      </c>
      <c r="F125" s="34" t="n">
        <v>632055</v>
      </c>
      <c r="G125" s="34" t="n">
        <v>758674</v>
      </c>
      <c r="H125" s="35" t="n">
        <v>126619</v>
      </c>
      <c r="I125" s="33" t="s">
        <v>120</v>
      </c>
    </row>
    <row r="126" customFormat="false" ht="15.75" hidden="false" customHeight="true" outlineLevel="0" collapsed="false">
      <c r="A126" s="32" t="n">
        <v>123</v>
      </c>
      <c r="B126" s="33" t="s">
        <v>70</v>
      </c>
      <c r="C126" s="32" t="n">
        <v>30</v>
      </c>
      <c r="D126" s="32" t="s">
        <v>30</v>
      </c>
      <c r="E126" s="32" t="s">
        <v>107</v>
      </c>
      <c r="F126" s="34" t="n">
        <v>355416</v>
      </c>
      <c r="G126" s="34" t="n">
        <v>794886</v>
      </c>
      <c r="H126" s="35" t="n">
        <v>439470</v>
      </c>
      <c r="I126" s="33" t="s">
        <v>120</v>
      </c>
    </row>
    <row r="127" customFormat="false" ht="15.75" hidden="false" customHeight="true" outlineLevel="0" collapsed="false">
      <c r="A127" s="32" t="n">
        <v>124</v>
      </c>
      <c r="B127" s="33" t="s">
        <v>70</v>
      </c>
      <c r="C127" s="32" t="n">
        <v>31</v>
      </c>
      <c r="D127" s="32" t="s">
        <v>31</v>
      </c>
      <c r="E127" s="32" t="s">
        <v>108</v>
      </c>
      <c r="F127" s="34" t="n">
        <v>358229</v>
      </c>
      <c r="G127" s="34" t="n">
        <v>823946</v>
      </c>
      <c r="H127" s="35" t="n">
        <v>465717</v>
      </c>
      <c r="I127" s="33" t="s">
        <v>120</v>
      </c>
    </row>
    <row r="128" customFormat="false" ht="15.75" hidden="false" customHeight="true" outlineLevel="0" collapsed="false">
      <c r="A128" s="27" t="n">
        <v>125</v>
      </c>
      <c r="B128" s="28" t="s">
        <v>71</v>
      </c>
      <c r="C128" s="27" t="n">
        <v>1</v>
      </c>
      <c r="D128" s="27" t="s">
        <v>1</v>
      </c>
      <c r="E128" s="27" t="s">
        <v>34</v>
      </c>
      <c r="F128" s="29" t="n">
        <v>166037</v>
      </c>
      <c r="G128" s="29" t="n">
        <v>0</v>
      </c>
      <c r="H128" s="30" t="n">
        <v>-166037</v>
      </c>
      <c r="I128" s="31"/>
    </row>
    <row r="129" customFormat="false" ht="15.75" hidden="false" customHeight="true" outlineLevel="0" collapsed="false">
      <c r="A129" s="27" t="n">
        <v>126</v>
      </c>
      <c r="B129" s="31" t="s">
        <v>71</v>
      </c>
      <c r="C129" s="27" t="n">
        <v>2</v>
      </c>
      <c r="D129" s="27" t="s">
        <v>2</v>
      </c>
      <c r="E129" s="27" t="s">
        <v>35</v>
      </c>
      <c r="F129" s="29" t="n">
        <v>166719</v>
      </c>
      <c r="G129" s="29" t="n">
        <v>0</v>
      </c>
      <c r="H129" s="30" t="n">
        <v>-166719</v>
      </c>
      <c r="I129" s="31"/>
    </row>
    <row r="130" customFormat="false" ht="15.75" hidden="false" customHeight="true" outlineLevel="0" collapsed="false">
      <c r="A130" s="27" t="n">
        <v>127</v>
      </c>
      <c r="B130" s="31" t="s">
        <v>71</v>
      </c>
      <c r="C130" s="27" t="n">
        <v>3</v>
      </c>
      <c r="D130" s="27" t="s">
        <v>3</v>
      </c>
      <c r="E130" s="27" t="s">
        <v>36</v>
      </c>
      <c r="F130" s="29" t="n">
        <v>167607</v>
      </c>
      <c r="G130" s="29" t="n">
        <v>0</v>
      </c>
      <c r="H130" s="30" t="n">
        <v>-167607</v>
      </c>
      <c r="I130" s="31"/>
    </row>
    <row r="131" customFormat="false" ht="15.75" hidden="false" customHeight="true" outlineLevel="0" collapsed="false">
      <c r="A131" s="27" t="n">
        <v>128</v>
      </c>
      <c r="B131" s="31" t="s">
        <v>71</v>
      </c>
      <c r="C131" s="27" t="n">
        <v>4</v>
      </c>
      <c r="D131" s="27" t="s">
        <v>4</v>
      </c>
      <c r="E131" s="27" t="s">
        <v>37</v>
      </c>
      <c r="F131" s="29" t="n">
        <v>168547</v>
      </c>
      <c r="G131" s="29" t="n">
        <v>0</v>
      </c>
      <c r="H131" s="30" t="n">
        <v>-168547</v>
      </c>
      <c r="I131" s="31"/>
    </row>
    <row r="132" customFormat="false" ht="15.75" hidden="false" customHeight="true" outlineLevel="0" collapsed="false">
      <c r="A132" s="27" t="n">
        <v>129</v>
      </c>
      <c r="B132" s="31" t="s">
        <v>71</v>
      </c>
      <c r="C132" s="27" t="n">
        <v>5</v>
      </c>
      <c r="D132" s="27" t="s">
        <v>5</v>
      </c>
      <c r="E132" s="27" t="s">
        <v>38</v>
      </c>
      <c r="F132" s="29" t="n">
        <v>169002</v>
      </c>
      <c r="G132" s="29" t="n">
        <v>0</v>
      </c>
      <c r="H132" s="30" t="n">
        <v>-169002</v>
      </c>
      <c r="I132" s="31"/>
    </row>
    <row r="133" customFormat="false" ht="15.75" hidden="false" customHeight="true" outlineLevel="0" collapsed="false">
      <c r="A133" s="27" t="n">
        <v>130</v>
      </c>
      <c r="B133" s="28" t="s">
        <v>73</v>
      </c>
      <c r="C133" s="27" t="n">
        <v>1</v>
      </c>
      <c r="D133" s="27" t="s">
        <v>1</v>
      </c>
      <c r="E133" s="27" t="s">
        <v>34</v>
      </c>
      <c r="F133" s="29" t="n">
        <v>346394</v>
      </c>
      <c r="G133" s="29" t="n">
        <v>0</v>
      </c>
      <c r="H133" s="30" t="n">
        <v>-346394</v>
      </c>
      <c r="I133" s="31" t="s">
        <v>121</v>
      </c>
    </row>
    <row r="134" customFormat="false" ht="15.75" hidden="false" customHeight="true" outlineLevel="0" collapsed="false">
      <c r="A134" s="27" t="n">
        <v>131</v>
      </c>
      <c r="B134" s="31" t="s">
        <v>73</v>
      </c>
      <c r="C134" s="27" t="n">
        <v>2</v>
      </c>
      <c r="D134" s="27" t="s">
        <v>2</v>
      </c>
      <c r="E134" s="27" t="s">
        <v>35</v>
      </c>
      <c r="F134" s="29" t="n">
        <v>354946</v>
      </c>
      <c r="G134" s="29" t="n">
        <v>0</v>
      </c>
      <c r="H134" s="30" t="n">
        <v>-354946</v>
      </c>
      <c r="I134" s="31" t="s">
        <v>121</v>
      </c>
    </row>
    <row r="135" customFormat="false" ht="15.75" hidden="false" customHeight="true" outlineLevel="0" collapsed="false">
      <c r="A135" s="27" t="n">
        <v>132</v>
      </c>
      <c r="B135" s="31" t="s">
        <v>73</v>
      </c>
      <c r="C135" s="27" t="n">
        <v>3</v>
      </c>
      <c r="D135" s="27" t="s">
        <v>3</v>
      </c>
      <c r="E135" s="27" t="s">
        <v>36</v>
      </c>
      <c r="F135" s="29" t="n">
        <v>376073</v>
      </c>
      <c r="G135" s="29" t="n">
        <v>0</v>
      </c>
      <c r="H135" s="30" t="n">
        <v>-376073</v>
      </c>
      <c r="I135" s="31" t="s">
        <v>121</v>
      </c>
    </row>
    <row r="136" customFormat="false" ht="15.75" hidden="false" customHeight="true" outlineLevel="0" collapsed="false">
      <c r="A136" s="27" t="n">
        <v>133</v>
      </c>
      <c r="B136" s="31" t="s">
        <v>73</v>
      </c>
      <c r="C136" s="27" t="n">
        <v>4</v>
      </c>
      <c r="D136" s="27" t="s">
        <v>4</v>
      </c>
      <c r="E136" s="27" t="s">
        <v>37</v>
      </c>
      <c r="F136" s="29" t="n">
        <v>382094</v>
      </c>
      <c r="G136" s="29" t="n">
        <v>0</v>
      </c>
      <c r="H136" s="30" t="n">
        <v>-382094</v>
      </c>
      <c r="I136" s="31" t="s">
        <v>121</v>
      </c>
    </row>
    <row r="137" customFormat="false" ht="15.75" hidden="false" customHeight="true" outlineLevel="0" collapsed="false">
      <c r="A137" s="27" t="n">
        <v>134</v>
      </c>
      <c r="B137" s="31" t="s">
        <v>73</v>
      </c>
      <c r="C137" s="27" t="n">
        <v>5</v>
      </c>
      <c r="D137" s="27" t="s">
        <v>5</v>
      </c>
      <c r="E137" s="27" t="s">
        <v>38</v>
      </c>
      <c r="F137" s="29" t="n">
        <v>394127</v>
      </c>
      <c r="G137" s="29" t="n">
        <v>0</v>
      </c>
      <c r="H137" s="30" t="n">
        <v>-394127</v>
      </c>
      <c r="I137" s="31" t="s">
        <v>121</v>
      </c>
    </row>
    <row r="138" customFormat="false" ht="15.75" hidden="false" customHeight="true" outlineLevel="0" collapsed="false">
      <c r="A138" s="27" t="n">
        <v>135</v>
      </c>
      <c r="B138" s="31" t="s">
        <v>73</v>
      </c>
      <c r="C138" s="27" t="n">
        <v>9</v>
      </c>
      <c r="D138" s="27" t="s">
        <v>9</v>
      </c>
      <c r="E138" s="27" t="s">
        <v>94</v>
      </c>
      <c r="F138" s="29" t="n">
        <v>416101</v>
      </c>
      <c r="G138" s="29" t="n">
        <v>0</v>
      </c>
      <c r="H138" s="30" t="n">
        <v>-416101</v>
      </c>
      <c r="I138" s="31" t="s">
        <v>121</v>
      </c>
    </row>
    <row r="139" customFormat="false" ht="15.75" hidden="false" customHeight="true" outlineLevel="0" collapsed="false">
      <c r="A139" s="27" t="n">
        <v>136</v>
      </c>
      <c r="B139" s="28" t="s">
        <v>74</v>
      </c>
      <c r="C139" s="27" t="n">
        <v>1</v>
      </c>
      <c r="D139" s="27" t="s">
        <v>1</v>
      </c>
      <c r="E139" s="27" t="s">
        <v>34</v>
      </c>
      <c r="F139" s="29" t="n">
        <v>62260</v>
      </c>
      <c r="G139" s="29" t="n">
        <v>0</v>
      </c>
      <c r="H139" s="30" t="n">
        <v>-62260</v>
      </c>
      <c r="I139" s="31"/>
    </row>
    <row r="140" customFormat="false" ht="15.75" hidden="false" customHeight="true" outlineLevel="0" collapsed="false">
      <c r="A140" s="27" t="n">
        <v>137</v>
      </c>
      <c r="B140" s="31" t="s">
        <v>74</v>
      </c>
      <c r="C140" s="27" t="n">
        <v>2</v>
      </c>
      <c r="D140" s="27" t="s">
        <v>2</v>
      </c>
      <c r="E140" s="27" t="s">
        <v>35</v>
      </c>
      <c r="F140" s="29" t="n">
        <v>68737</v>
      </c>
      <c r="G140" s="29" t="n">
        <v>0</v>
      </c>
      <c r="H140" s="30" t="n">
        <v>-68737</v>
      </c>
      <c r="I140" s="31"/>
    </row>
    <row r="141" customFormat="false" ht="15.75" hidden="false" customHeight="true" outlineLevel="0" collapsed="false">
      <c r="A141" s="27" t="n">
        <v>138</v>
      </c>
      <c r="B141" s="31" t="s">
        <v>74</v>
      </c>
      <c r="C141" s="27" t="n">
        <v>3</v>
      </c>
      <c r="D141" s="27" t="s">
        <v>3</v>
      </c>
      <c r="E141" s="27" t="s">
        <v>36</v>
      </c>
      <c r="F141" s="29" t="n">
        <v>61381</v>
      </c>
      <c r="G141" s="29" t="n">
        <v>0</v>
      </c>
      <c r="H141" s="30" t="n">
        <v>-61381</v>
      </c>
      <c r="I141" s="31"/>
    </row>
    <row r="142" customFormat="false" ht="15.75" hidden="false" customHeight="true" outlineLevel="0" collapsed="false">
      <c r="A142" s="27" t="n">
        <v>139</v>
      </c>
      <c r="B142" s="31" t="s">
        <v>74</v>
      </c>
      <c r="C142" s="27" t="n">
        <v>4</v>
      </c>
      <c r="D142" s="27" t="s">
        <v>4</v>
      </c>
      <c r="E142" s="27" t="s">
        <v>37</v>
      </c>
      <c r="F142" s="29" t="n">
        <v>71752</v>
      </c>
      <c r="G142" s="29" t="n">
        <v>0</v>
      </c>
      <c r="H142" s="30" t="n">
        <v>-71752</v>
      </c>
      <c r="I142" s="31"/>
    </row>
    <row r="143" customFormat="false" ht="15.75" hidden="false" customHeight="true" outlineLevel="0" collapsed="false">
      <c r="A143" s="27" t="n">
        <v>140</v>
      </c>
      <c r="B143" s="31" t="s">
        <v>74</v>
      </c>
      <c r="C143" s="27" t="n">
        <v>5</v>
      </c>
      <c r="D143" s="27" t="s">
        <v>5</v>
      </c>
      <c r="E143" s="27" t="s">
        <v>38</v>
      </c>
      <c r="F143" s="29" t="n">
        <v>71752</v>
      </c>
      <c r="G143" s="29" t="n">
        <v>0</v>
      </c>
      <c r="H143" s="30" t="n">
        <v>-71752</v>
      </c>
      <c r="I143" s="31"/>
    </row>
    <row r="144" customFormat="false" ht="15.75" hidden="false" customHeight="true" outlineLevel="0" collapsed="false">
      <c r="A144" s="27" t="n">
        <v>141</v>
      </c>
      <c r="B144" s="28" t="s">
        <v>75</v>
      </c>
      <c r="C144" s="27" t="n">
        <v>1</v>
      </c>
      <c r="D144" s="27" t="s">
        <v>1</v>
      </c>
      <c r="E144" s="27" t="s">
        <v>34</v>
      </c>
      <c r="F144" s="29" t="n">
        <v>24204</v>
      </c>
      <c r="G144" s="29" t="n">
        <v>0</v>
      </c>
      <c r="H144" s="30" t="n">
        <v>-24204</v>
      </c>
      <c r="I144" s="31" t="s">
        <v>109</v>
      </c>
    </row>
    <row r="145" customFormat="false" ht="15.75" hidden="false" customHeight="true" outlineLevel="0" collapsed="false">
      <c r="A145" s="27" t="n">
        <v>142</v>
      </c>
      <c r="B145" s="31" t="s">
        <v>75</v>
      </c>
      <c r="C145" s="27" t="n">
        <v>2</v>
      </c>
      <c r="D145" s="27" t="s">
        <v>2</v>
      </c>
      <c r="E145" s="27" t="s">
        <v>35</v>
      </c>
      <c r="F145" s="29" t="n">
        <v>28058</v>
      </c>
      <c r="G145" s="29" t="n">
        <v>0</v>
      </c>
      <c r="H145" s="30" t="n">
        <v>-28058</v>
      </c>
      <c r="I145" s="31" t="s">
        <v>109</v>
      </c>
    </row>
    <row r="146" customFormat="false" ht="15.75" hidden="false" customHeight="true" outlineLevel="0" collapsed="false">
      <c r="A146" s="27" t="n">
        <v>143</v>
      </c>
      <c r="B146" s="31" t="s">
        <v>75</v>
      </c>
      <c r="C146" s="27" t="n">
        <v>3</v>
      </c>
      <c r="D146" s="27" t="s">
        <v>3</v>
      </c>
      <c r="E146" s="27" t="s">
        <v>36</v>
      </c>
      <c r="F146" s="29" t="n">
        <v>29613</v>
      </c>
      <c r="G146" s="29" t="n">
        <v>0</v>
      </c>
      <c r="H146" s="30" t="n">
        <v>-29613</v>
      </c>
      <c r="I146" s="31" t="s">
        <v>109</v>
      </c>
    </row>
    <row r="147" customFormat="false" ht="15.75" hidden="false" customHeight="true" outlineLevel="0" collapsed="false">
      <c r="A147" s="27" t="n">
        <v>144</v>
      </c>
      <c r="B147" s="31" t="s">
        <v>75</v>
      </c>
      <c r="C147" s="27" t="n">
        <v>4</v>
      </c>
      <c r="D147" s="27" t="s">
        <v>4</v>
      </c>
      <c r="E147" s="27" t="s">
        <v>37</v>
      </c>
      <c r="F147" s="29" t="n">
        <v>31258</v>
      </c>
      <c r="G147" s="29" t="n">
        <v>0</v>
      </c>
      <c r="H147" s="30" t="n">
        <v>-31258</v>
      </c>
      <c r="I147" s="31" t="s">
        <v>109</v>
      </c>
    </row>
    <row r="148" customFormat="false" ht="15.75" hidden="false" customHeight="true" outlineLevel="0" collapsed="false">
      <c r="A148" s="27" t="n">
        <v>145</v>
      </c>
      <c r="B148" s="31" t="s">
        <v>75</v>
      </c>
      <c r="C148" s="27" t="n">
        <v>5</v>
      </c>
      <c r="D148" s="27" t="s">
        <v>5</v>
      </c>
      <c r="E148" s="27" t="s">
        <v>38</v>
      </c>
      <c r="F148" s="29" t="n">
        <v>33019</v>
      </c>
      <c r="G148" s="29" t="n">
        <v>0</v>
      </c>
      <c r="H148" s="30" t="n">
        <v>-33019</v>
      </c>
      <c r="I148" s="31" t="s">
        <v>109</v>
      </c>
    </row>
    <row r="149" customFormat="false" ht="15.75" hidden="false" customHeight="true" outlineLevel="0" collapsed="false">
      <c r="A149" s="32" t="n">
        <v>146</v>
      </c>
      <c r="B149" s="33" t="s">
        <v>75</v>
      </c>
      <c r="C149" s="32" t="n">
        <v>8</v>
      </c>
      <c r="D149" s="32" t="s">
        <v>8</v>
      </c>
      <c r="E149" s="32" t="s">
        <v>93</v>
      </c>
      <c r="F149" s="34" t="n">
        <v>33291</v>
      </c>
      <c r="G149" s="34" t="n">
        <v>34991</v>
      </c>
      <c r="H149" s="35" t="n">
        <v>1700</v>
      </c>
      <c r="I149" s="33" t="s">
        <v>109</v>
      </c>
    </row>
    <row r="150" customFormat="false" ht="15.75" hidden="false" customHeight="true" outlineLevel="0" collapsed="false">
      <c r="A150" s="32" t="n">
        <v>147</v>
      </c>
      <c r="B150" s="33" t="s">
        <v>75</v>
      </c>
      <c r="C150" s="32" t="n">
        <v>9</v>
      </c>
      <c r="D150" s="32" t="s">
        <v>9</v>
      </c>
      <c r="E150" s="32" t="s">
        <v>94</v>
      </c>
      <c r="F150" s="34" t="n">
        <v>33293</v>
      </c>
      <c r="G150" s="34" t="n">
        <v>35014</v>
      </c>
      <c r="H150" s="35" t="n">
        <v>1721</v>
      </c>
      <c r="I150" s="33" t="s">
        <v>109</v>
      </c>
    </row>
    <row r="151" customFormat="false" ht="15.75" hidden="false" customHeight="true" outlineLevel="0" collapsed="false">
      <c r="A151" s="32" t="n">
        <v>148</v>
      </c>
      <c r="B151" s="33" t="s">
        <v>75</v>
      </c>
      <c r="C151" s="32" t="n">
        <v>10</v>
      </c>
      <c r="D151" s="32" t="s">
        <v>10</v>
      </c>
      <c r="E151" s="32" t="s">
        <v>95</v>
      </c>
      <c r="F151" s="34" t="n">
        <v>52300</v>
      </c>
      <c r="G151" s="34" t="n">
        <v>54555</v>
      </c>
      <c r="H151" s="35" t="n">
        <v>2255</v>
      </c>
      <c r="I151" s="33" t="s">
        <v>109</v>
      </c>
    </row>
    <row r="152" customFormat="false" ht="15.75" hidden="false" customHeight="true" outlineLevel="0" collapsed="false">
      <c r="A152" s="32" t="n">
        <v>149</v>
      </c>
      <c r="B152" s="33" t="s">
        <v>75</v>
      </c>
      <c r="C152" s="32" t="n">
        <v>11</v>
      </c>
      <c r="D152" s="32" t="s">
        <v>11</v>
      </c>
      <c r="E152" s="32" t="s">
        <v>96</v>
      </c>
      <c r="F152" s="34" t="n">
        <v>62708</v>
      </c>
      <c r="G152" s="34" t="n">
        <v>65092</v>
      </c>
      <c r="H152" s="35" t="n">
        <v>2384</v>
      </c>
      <c r="I152" s="33" t="s">
        <v>109</v>
      </c>
    </row>
    <row r="153" customFormat="false" ht="15.75" hidden="false" customHeight="true" outlineLevel="0" collapsed="false">
      <c r="A153" s="32" t="n">
        <v>150</v>
      </c>
      <c r="B153" s="33" t="s">
        <v>75</v>
      </c>
      <c r="C153" s="32" t="n">
        <v>12</v>
      </c>
      <c r="D153" s="32" t="s">
        <v>12</v>
      </c>
      <c r="E153" s="32" t="s">
        <v>97</v>
      </c>
      <c r="F153" s="34" t="n">
        <v>65621</v>
      </c>
      <c r="G153" s="34" t="n">
        <v>67606</v>
      </c>
      <c r="H153" s="35" t="n">
        <v>1985</v>
      </c>
      <c r="I153" s="33" t="s">
        <v>109</v>
      </c>
    </row>
    <row r="154" customFormat="false" ht="15.75" hidden="false" customHeight="true" outlineLevel="0" collapsed="false">
      <c r="A154" s="32" t="n">
        <v>151</v>
      </c>
      <c r="B154" s="33" t="s">
        <v>75</v>
      </c>
      <c r="C154" s="32" t="n">
        <v>13</v>
      </c>
      <c r="D154" s="32" t="s">
        <v>13</v>
      </c>
      <c r="E154" s="32" t="s">
        <v>98</v>
      </c>
      <c r="F154" s="34" t="n">
        <v>71187</v>
      </c>
      <c r="G154" s="34" t="n">
        <v>73260</v>
      </c>
      <c r="H154" s="35" t="n">
        <v>2073</v>
      </c>
      <c r="I154" s="33" t="s">
        <v>109</v>
      </c>
    </row>
    <row r="155" customFormat="false" ht="15.75" hidden="false" customHeight="true" outlineLevel="0" collapsed="false">
      <c r="A155" s="32" t="n">
        <v>152</v>
      </c>
      <c r="B155" s="33" t="s">
        <v>75</v>
      </c>
      <c r="C155" s="32" t="n">
        <v>14</v>
      </c>
      <c r="D155" s="32" t="s">
        <v>14</v>
      </c>
      <c r="E155" s="32" t="s">
        <v>99</v>
      </c>
      <c r="F155" s="34" t="n">
        <v>75028</v>
      </c>
      <c r="G155" s="34" t="n">
        <v>77165</v>
      </c>
      <c r="H155" s="35" t="n">
        <v>2137</v>
      </c>
      <c r="I155" s="33" t="s">
        <v>109</v>
      </c>
    </row>
    <row r="156" customFormat="false" ht="15.75" hidden="false" customHeight="true" outlineLevel="0" collapsed="false">
      <c r="A156" s="32" t="n">
        <v>153</v>
      </c>
      <c r="B156" s="33" t="s">
        <v>75</v>
      </c>
      <c r="C156" s="32" t="n">
        <v>15</v>
      </c>
      <c r="D156" s="32" t="s">
        <v>15</v>
      </c>
      <c r="E156" s="32" t="s">
        <v>100</v>
      </c>
      <c r="F156" s="34" t="n">
        <v>76182</v>
      </c>
      <c r="G156" s="34" t="n">
        <v>78371</v>
      </c>
      <c r="H156" s="35" t="n">
        <v>2189</v>
      </c>
      <c r="I156" s="33" t="s">
        <v>109</v>
      </c>
    </row>
    <row r="157" customFormat="false" ht="15.75" hidden="false" customHeight="true" outlineLevel="0" collapsed="false">
      <c r="A157" s="32" t="n">
        <v>154</v>
      </c>
      <c r="B157" s="33" t="s">
        <v>75</v>
      </c>
      <c r="C157" s="32" t="n">
        <v>16</v>
      </c>
      <c r="D157" s="32" t="s">
        <v>16</v>
      </c>
      <c r="E157" s="32" t="s">
        <v>101</v>
      </c>
      <c r="F157" s="34" t="n">
        <v>78374</v>
      </c>
      <c r="G157" s="34" t="n">
        <v>80945</v>
      </c>
      <c r="H157" s="35" t="n">
        <v>2571</v>
      </c>
      <c r="I157" s="33" t="s">
        <v>109</v>
      </c>
    </row>
    <row r="158" customFormat="false" ht="15.75" hidden="false" customHeight="true" outlineLevel="0" collapsed="false">
      <c r="A158" s="32" t="n">
        <v>155</v>
      </c>
      <c r="B158" s="33" t="s">
        <v>75</v>
      </c>
      <c r="C158" s="32" t="n">
        <v>17</v>
      </c>
      <c r="D158" s="32" t="s">
        <v>17</v>
      </c>
      <c r="E158" s="32" t="s">
        <v>102</v>
      </c>
      <c r="F158" s="34" t="n">
        <v>84048</v>
      </c>
      <c r="G158" s="34" t="n">
        <v>86693</v>
      </c>
      <c r="H158" s="35" t="n">
        <v>2645</v>
      </c>
      <c r="I158" s="33" t="s">
        <v>109</v>
      </c>
    </row>
    <row r="159" customFormat="false" ht="15.75" hidden="false" customHeight="true" outlineLevel="0" collapsed="false">
      <c r="A159" s="32" t="n">
        <v>156</v>
      </c>
      <c r="B159" s="33" t="s">
        <v>75</v>
      </c>
      <c r="C159" s="32" t="n">
        <v>18</v>
      </c>
      <c r="D159" s="32" t="s">
        <v>18</v>
      </c>
      <c r="E159" s="32" t="s">
        <v>103</v>
      </c>
      <c r="F159" s="34" t="n">
        <v>82633</v>
      </c>
      <c r="G159" s="34" t="n">
        <v>85335</v>
      </c>
      <c r="H159" s="35" t="n">
        <v>2702</v>
      </c>
      <c r="I159" s="33" t="s">
        <v>109</v>
      </c>
    </row>
    <row r="160" customFormat="false" ht="15.75" hidden="false" customHeight="true" outlineLevel="0" collapsed="false">
      <c r="A160" s="32" t="n">
        <v>157</v>
      </c>
      <c r="B160" s="33" t="s">
        <v>75</v>
      </c>
      <c r="C160" s="32" t="n">
        <v>19</v>
      </c>
      <c r="D160" s="32" t="s">
        <v>19</v>
      </c>
      <c r="E160" s="32" t="s">
        <v>104</v>
      </c>
      <c r="F160" s="34" t="n">
        <v>84580</v>
      </c>
      <c r="G160" s="34" t="n">
        <v>87438</v>
      </c>
      <c r="H160" s="35" t="n">
        <v>2858</v>
      </c>
      <c r="I160" s="33" t="s">
        <v>109</v>
      </c>
    </row>
    <row r="161" customFormat="false" ht="15.75" hidden="false" customHeight="true" outlineLevel="0" collapsed="false">
      <c r="A161" s="32" t="n">
        <v>158</v>
      </c>
      <c r="B161" s="33" t="s">
        <v>75</v>
      </c>
      <c r="C161" s="32" t="n">
        <v>20</v>
      </c>
      <c r="D161" s="32" t="s">
        <v>20</v>
      </c>
      <c r="E161" s="32" t="s">
        <v>110</v>
      </c>
      <c r="F161" s="34" t="n">
        <v>63030</v>
      </c>
      <c r="G161" s="34" t="n">
        <v>64545</v>
      </c>
      <c r="H161" s="35" t="n">
        <v>1515</v>
      </c>
      <c r="I161" s="33" t="s">
        <v>109</v>
      </c>
    </row>
    <row r="162" customFormat="false" ht="15.75" hidden="false" customHeight="true" outlineLevel="0" collapsed="false">
      <c r="A162" s="32" t="n">
        <v>159</v>
      </c>
      <c r="B162" s="33" t="s">
        <v>75</v>
      </c>
      <c r="C162" s="32" t="n">
        <v>21</v>
      </c>
      <c r="D162" s="32" t="s">
        <v>21</v>
      </c>
      <c r="E162" s="32" t="s">
        <v>111</v>
      </c>
      <c r="F162" s="34" t="n">
        <v>62576</v>
      </c>
      <c r="G162" s="34" t="n">
        <v>64955</v>
      </c>
      <c r="H162" s="35" t="n">
        <v>2379</v>
      </c>
      <c r="I162" s="33" t="s">
        <v>109</v>
      </c>
    </row>
    <row r="163" customFormat="false" ht="15.75" hidden="false" customHeight="true" outlineLevel="0" collapsed="false">
      <c r="A163" s="32" t="n">
        <v>160</v>
      </c>
      <c r="B163" s="33" t="s">
        <v>75</v>
      </c>
      <c r="C163" s="32" t="n">
        <v>22</v>
      </c>
      <c r="D163" s="32" t="s">
        <v>22</v>
      </c>
      <c r="E163" s="32" t="s">
        <v>112</v>
      </c>
      <c r="F163" s="34" t="n">
        <v>80986</v>
      </c>
      <c r="G163" s="34" t="n">
        <v>82704</v>
      </c>
      <c r="H163" s="35" t="n">
        <v>1718</v>
      </c>
      <c r="I163" s="33" t="s">
        <v>109</v>
      </c>
    </row>
    <row r="164" customFormat="false" ht="15.75" hidden="false" customHeight="true" outlineLevel="0" collapsed="false">
      <c r="A164" s="32" t="n">
        <v>161</v>
      </c>
      <c r="B164" s="33" t="s">
        <v>75</v>
      </c>
      <c r="C164" s="32" t="n">
        <v>23</v>
      </c>
      <c r="D164" s="32" t="s">
        <v>23</v>
      </c>
      <c r="E164" s="32" t="s">
        <v>113</v>
      </c>
      <c r="F164" s="34" t="n">
        <v>76423</v>
      </c>
      <c r="G164" s="34" t="n">
        <v>78550</v>
      </c>
      <c r="H164" s="35" t="n">
        <v>2127</v>
      </c>
      <c r="I164" s="33" t="s">
        <v>109</v>
      </c>
    </row>
    <row r="165" customFormat="false" ht="15.75" hidden="false" customHeight="true" outlineLevel="0" collapsed="false">
      <c r="A165" s="32" t="n">
        <v>162</v>
      </c>
      <c r="B165" s="33" t="s">
        <v>75</v>
      </c>
      <c r="C165" s="32" t="n">
        <v>24</v>
      </c>
      <c r="D165" s="32" t="s">
        <v>24</v>
      </c>
      <c r="E165" s="32" t="s">
        <v>114</v>
      </c>
      <c r="F165" s="34" t="n">
        <v>97291</v>
      </c>
      <c r="G165" s="34" t="n">
        <v>99675</v>
      </c>
      <c r="H165" s="35" t="n">
        <v>2384</v>
      </c>
      <c r="I165" s="33" t="s">
        <v>109</v>
      </c>
    </row>
    <row r="166" customFormat="false" ht="15.75" hidden="false" customHeight="true" outlineLevel="0" collapsed="false">
      <c r="A166" s="32" t="n">
        <v>163</v>
      </c>
      <c r="B166" s="33" t="s">
        <v>75</v>
      </c>
      <c r="C166" s="32" t="n">
        <v>25</v>
      </c>
      <c r="D166" s="32" t="s">
        <v>25</v>
      </c>
      <c r="E166" s="32" t="s">
        <v>115</v>
      </c>
      <c r="F166" s="34" t="n">
        <v>105453</v>
      </c>
      <c r="G166" s="34" t="n">
        <v>108146</v>
      </c>
      <c r="H166" s="35" t="n">
        <v>2693</v>
      </c>
      <c r="I166" s="33" t="s">
        <v>109</v>
      </c>
    </row>
    <row r="167" customFormat="false" ht="15.75" hidden="false" customHeight="true" outlineLevel="0" collapsed="false">
      <c r="A167" s="32" t="n">
        <v>164</v>
      </c>
      <c r="B167" s="33" t="s">
        <v>75</v>
      </c>
      <c r="C167" s="32" t="n">
        <v>26</v>
      </c>
      <c r="D167" s="32" t="s">
        <v>26</v>
      </c>
      <c r="E167" s="32" t="s">
        <v>116</v>
      </c>
      <c r="F167" s="34" t="n">
        <v>89455</v>
      </c>
      <c r="G167" s="34" t="n">
        <v>91799</v>
      </c>
      <c r="H167" s="35" t="n">
        <v>2344</v>
      </c>
      <c r="I167" s="33" t="s">
        <v>109</v>
      </c>
    </row>
    <row r="168" customFormat="false" ht="15.75" hidden="false" customHeight="true" outlineLevel="0" collapsed="false">
      <c r="A168" s="32" t="n">
        <v>165</v>
      </c>
      <c r="B168" s="33" t="s">
        <v>75</v>
      </c>
      <c r="C168" s="32" t="n">
        <v>27</v>
      </c>
      <c r="D168" s="32" t="s">
        <v>27</v>
      </c>
      <c r="E168" s="32" t="s">
        <v>117</v>
      </c>
      <c r="F168" s="34" t="n">
        <v>93955</v>
      </c>
      <c r="G168" s="34" t="n">
        <v>96285</v>
      </c>
      <c r="H168" s="35" t="n">
        <v>2330</v>
      </c>
      <c r="I168" s="33" t="s">
        <v>109</v>
      </c>
    </row>
    <row r="169" customFormat="false" ht="15.75" hidden="false" customHeight="true" outlineLevel="0" collapsed="false">
      <c r="A169" s="32" t="n">
        <v>166</v>
      </c>
      <c r="B169" s="33" t="s">
        <v>75</v>
      </c>
      <c r="C169" s="32" t="n">
        <v>28</v>
      </c>
      <c r="D169" s="32" t="s">
        <v>28</v>
      </c>
      <c r="E169" s="32" t="s">
        <v>118</v>
      </c>
      <c r="F169" s="34" t="n">
        <v>96939</v>
      </c>
      <c r="G169" s="34" t="n">
        <v>99724</v>
      </c>
      <c r="H169" s="35" t="n">
        <v>2785</v>
      </c>
      <c r="I169" s="33" t="s">
        <v>109</v>
      </c>
    </row>
    <row r="170" customFormat="false" ht="15.75" hidden="false" customHeight="true" outlineLevel="0" collapsed="false">
      <c r="A170" s="32" t="n">
        <v>167</v>
      </c>
      <c r="B170" s="33" t="s">
        <v>75</v>
      </c>
      <c r="C170" s="32" t="n">
        <v>29</v>
      </c>
      <c r="D170" s="32" t="s">
        <v>29</v>
      </c>
      <c r="E170" s="32" t="s">
        <v>106</v>
      </c>
      <c r="F170" s="34" t="n">
        <v>97479</v>
      </c>
      <c r="G170" s="34" t="n">
        <v>99961</v>
      </c>
      <c r="H170" s="35" t="n">
        <v>2482</v>
      </c>
      <c r="I170" s="33" t="s">
        <v>109</v>
      </c>
    </row>
    <row r="171" customFormat="false" ht="15.75" hidden="false" customHeight="true" outlineLevel="0" collapsed="false">
      <c r="A171" s="32" t="n">
        <v>168</v>
      </c>
      <c r="B171" s="33" t="s">
        <v>75</v>
      </c>
      <c r="C171" s="32" t="n">
        <v>30</v>
      </c>
      <c r="D171" s="32" t="s">
        <v>30</v>
      </c>
      <c r="E171" s="32" t="s">
        <v>107</v>
      </c>
      <c r="F171" s="34" t="n">
        <v>99844</v>
      </c>
      <c r="G171" s="34" t="n">
        <v>102320</v>
      </c>
      <c r="H171" s="35" t="n">
        <v>2476</v>
      </c>
      <c r="I171" s="33" t="s">
        <v>109</v>
      </c>
    </row>
    <row r="172" customFormat="false" ht="15.75" hidden="false" customHeight="true" outlineLevel="0" collapsed="false">
      <c r="A172" s="32" t="n">
        <v>169</v>
      </c>
      <c r="B172" s="33" t="s">
        <v>75</v>
      </c>
      <c r="C172" s="32" t="n">
        <v>31</v>
      </c>
      <c r="D172" s="32" t="s">
        <v>31</v>
      </c>
      <c r="E172" s="32" t="s">
        <v>108</v>
      </c>
      <c r="F172" s="34" t="n">
        <v>101267</v>
      </c>
      <c r="G172" s="34" t="n">
        <v>103853</v>
      </c>
      <c r="H172" s="35" t="n">
        <v>2586</v>
      </c>
      <c r="I172" s="33" t="s">
        <v>109</v>
      </c>
    </row>
    <row r="173" customFormat="false" ht="15.75" hidden="false" customHeight="true" outlineLevel="0" collapsed="false">
      <c r="A173" s="27" t="n">
        <v>170</v>
      </c>
      <c r="B173" s="28" t="s">
        <v>76</v>
      </c>
      <c r="C173" s="27" t="n">
        <v>1</v>
      </c>
      <c r="D173" s="27" t="s">
        <v>1</v>
      </c>
      <c r="E173" s="27" t="s">
        <v>34</v>
      </c>
      <c r="F173" s="29" t="n">
        <v>26506</v>
      </c>
      <c r="G173" s="29" t="n">
        <v>0</v>
      </c>
      <c r="H173" s="30" t="n">
        <v>-26506</v>
      </c>
      <c r="I173" s="31"/>
    </row>
    <row r="174" customFormat="false" ht="15.75" hidden="false" customHeight="true" outlineLevel="0" collapsed="false">
      <c r="A174" s="27" t="n">
        <v>171</v>
      </c>
      <c r="B174" s="31" t="s">
        <v>76</v>
      </c>
      <c r="C174" s="27" t="n">
        <v>2</v>
      </c>
      <c r="D174" s="27" t="s">
        <v>2</v>
      </c>
      <c r="E174" s="27" t="s">
        <v>35</v>
      </c>
      <c r="F174" s="29" t="n">
        <v>31858</v>
      </c>
      <c r="G174" s="29" t="n">
        <v>0</v>
      </c>
      <c r="H174" s="30" t="n">
        <v>-31858</v>
      </c>
      <c r="I174" s="31"/>
    </row>
    <row r="175" customFormat="false" ht="15.75" hidden="false" customHeight="true" outlineLevel="0" collapsed="false">
      <c r="A175" s="27" t="n">
        <v>172</v>
      </c>
      <c r="B175" s="31" t="s">
        <v>76</v>
      </c>
      <c r="C175" s="27" t="n">
        <v>3</v>
      </c>
      <c r="D175" s="27" t="s">
        <v>3</v>
      </c>
      <c r="E175" s="27" t="s">
        <v>36</v>
      </c>
      <c r="F175" s="29" t="n">
        <v>34193</v>
      </c>
      <c r="G175" s="29" t="n">
        <v>0</v>
      </c>
      <c r="H175" s="30" t="n">
        <v>-34193</v>
      </c>
      <c r="I175" s="31"/>
    </row>
    <row r="176" customFormat="false" ht="15.75" hidden="false" customHeight="true" outlineLevel="0" collapsed="false">
      <c r="A176" s="27" t="n">
        <v>173</v>
      </c>
      <c r="B176" s="31" t="s">
        <v>76</v>
      </c>
      <c r="C176" s="27" t="n">
        <v>4</v>
      </c>
      <c r="D176" s="27" t="s">
        <v>4</v>
      </c>
      <c r="E176" s="27" t="s">
        <v>37</v>
      </c>
      <c r="F176" s="29" t="n">
        <v>37876</v>
      </c>
      <c r="G176" s="29" t="n">
        <v>0</v>
      </c>
      <c r="H176" s="30" t="n">
        <v>-37876</v>
      </c>
      <c r="I176" s="31"/>
    </row>
    <row r="177" customFormat="false" ht="15.75" hidden="false" customHeight="true" outlineLevel="0" collapsed="false">
      <c r="A177" s="27" t="n">
        <v>174</v>
      </c>
      <c r="B177" s="31" t="s">
        <v>76</v>
      </c>
      <c r="C177" s="27" t="n">
        <v>5</v>
      </c>
      <c r="D177" s="27" t="s">
        <v>5</v>
      </c>
      <c r="E177" s="27" t="s">
        <v>38</v>
      </c>
      <c r="F177" s="29" t="n">
        <v>41202</v>
      </c>
      <c r="G177" s="29" t="n">
        <v>0</v>
      </c>
      <c r="H177" s="30" t="n">
        <v>-41202</v>
      </c>
      <c r="I177" s="31"/>
    </row>
    <row r="178" customFormat="false" ht="15.75" hidden="false" customHeight="true" outlineLevel="0" collapsed="false">
      <c r="A178" s="27" t="n">
        <v>175</v>
      </c>
      <c r="B178" s="28" t="s">
        <v>77</v>
      </c>
      <c r="C178" s="27" t="n">
        <v>1</v>
      </c>
      <c r="D178" s="27" t="s">
        <v>1</v>
      </c>
      <c r="E178" s="27" t="s">
        <v>34</v>
      </c>
      <c r="F178" s="29" t="n">
        <v>14238</v>
      </c>
      <c r="G178" s="29" t="n">
        <v>0</v>
      </c>
      <c r="H178" s="30" t="n">
        <v>-14238</v>
      </c>
      <c r="I178" s="31"/>
    </row>
    <row r="179" customFormat="false" ht="15.75" hidden="false" customHeight="true" outlineLevel="0" collapsed="false">
      <c r="A179" s="27" t="n">
        <v>176</v>
      </c>
      <c r="B179" s="31" t="s">
        <v>77</v>
      </c>
      <c r="C179" s="27" t="n">
        <v>2</v>
      </c>
      <c r="D179" s="27" t="s">
        <v>2</v>
      </c>
      <c r="E179" s="27" t="s">
        <v>35</v>
      </c>
      <c r="F179" s="29" t="n">
        <v>16828</v>
      </c>
      <c r="G179" s="29" t="n">
        <v>0</v>
      </c>
      <c r="H179" s="30" t="n">
        <v>-16828</v>
      </c>
      <c r="I179" s="31"/>
    </row>
    <row r="180" customFormat="false" ht="15.75" hidden="false" customHeight="true" outlineLevel="0" collapsed="false">
      <c r="A180" s="27" t="n">
        <v>177</v>
      </c>
      <c r="B180" s="31" t="s">
        <v>77</v>
      </c>
      <c r="C180" s="27" t="n">
        <v>3</v>
      </c>
      <c r="D180" s="27" t="s">
        <v>3</v>
      </c>
      <c r="E180" s="27" t="s">
        <v>36</v>
      </c>
      <c r="F180" s="29" t="n">
        <v>23462</v>
      </c>
      <c r="G180" s="29" t="n">
        <v>0</v>
      </c>
      <c r="H180" s="30" t="n">
        <v>-23462</v>
      </c>
      <c r="I180" s="31"/>
    </row>
    <row r="181" customFormat="false" ht="15.75" hidden="false" customHeight="true" outlineLevel="0" collapsed="false">
      <c r="A181" s="27" t="n">
        <v>178</v>
      </c>
      <c r="B181" s="31" t="s">
        <v>77</v>
      </c>
      <c r="C181" s="27" t="n">
        <v>4</v>
      </c>
      <c r="D181" s="27" t="s">
        <v>4</v>
      </c>
      <c r="E181" s="27" t="s">
        <v>37</v>
      </c>
      <c r="F181" s="29" t="n">
        <v>32187</v>
      </c>
      <c r="G181" s="29" t="n">
        <v>0</v>
      </c>
      <c r="H181" s="30" t="n">
        <v>-32187</v>
      </c>
      <c r="I181" s="31"/>
    </row>
    <row r="182" customFormat="false" ht="15.75" hidden="false" customHeight="true" outlineLevel="0" collapsed="false">
      <c r="A182" s="27" t="n">
        <v>179</v>
      </c>
      <c r="B182" s="31" t="s">
        <v>77</v>
      </c>
      <c r="C182" s="27" t="n">
        <v>5</v>
      </c>
      <c r="D182" s="27" t="s">
        <v>5</v>
      </c>
      <c r="E182" s="27" t="s">
        <v>38</v>
      </c>
      <c r="F182" s="29" t="n">
        <v>37105</v>
      </c>
      <c r="G182" s="29" t="n">
        <v>0</v>
      </c>
      <c r="H182" s="30" t="n">
        <v>-37105</v>
      </c>
      <c r="I182" s="31"/>
    </row>
    <row r="185" customFormat="false" ht="21.75" hidden="false" customHeight="true" outlineLevel="0" collapsed="false">
      <c r="A185" s="36" t="s">
        <v>122</v>
      </c>
      <c r="B185" s="36"/>
      <c r="C185" s="36"/>
      <c r="D185" s="36"/>
      <c r="E185" s="36"/>
      <c r="F185" s="36"/>
      <c r="G185" s="36"/>
      <c r="H185" s="36"/>
      <c r="I185" s="36"/>
    </row>
    <row r="186" customFormat="false" ht="27.75" hidden="false" customHeight="true" outlineLevel="0" collapsed="false">
      <c r="A186" s="37" t="s">
        <v>123</v>
      </c>
      <c r="B186" s="37" t="s">
        <v>124</v>
      </c>
      <c r="C186" s="37" t="s">
        <v>125</v>
      </c>
      <c r="D186" s="37" t="s">
        <v>126</v>
      </c>
      <c r="E186" s="37" t="s">
        <v>127</v>
      </c>
      <c r="F186" s="37" t="s">
        <v>128</v>
      </c>
      <c r="G186" s="37" t="s">
        <v>129</v>
      </c>
      <c r="H186" s="37" t="s">
        <v>130</v>
      </c>
    </row>
    <row r="187" customFormat="false" ht="18" hidden="false" customHeight="true" outlineLevel="0" collapsed="false">
      <c r="A187" s="38" t="s">
        <v>65</v>
      </c>
      <c r="B187" s="39" t="n">
        <v>17</v>
      </c>
      <c r="C187" s="40" t="n">
        <v>293732</v>
      </c>
      <c r="D187" s="40" t="n">
        <v>246183</v>
      </c>
      <c r="E187" s="41" t="n">
        <v>-47549</v>
      </c>
      <c r="F187" s="40" t="n">
        <v>15000</v>
      </c>
      <c r="G187" s="39" t="s">
        <v>131</v>
      </c>
      <c r="H187" s="42" t="s">
        <v>132</v>
      </c>
    </row>
    <row r="188" customFormat="false" ht="18" hidden="false" customHeight="true" outlineLevel="0" collapsed="false">
      <c r="A188" s="38" t="s">
        <v>66</v>
      </c>
      <c r="B188" s="39" t="n">
        <v>18</v>
      </c>
      <c r="C188" s="40" t="n">
        <v>174188</v>
      </c>
      <c r="D188" s="40" t="n">
        <v>114476</v>
      </c>
      <c r="E188" s="41" t="n">
        <v>-59712</v>
      </c>
      <c r="F188" s="40" t="n">
        <v>12421</v>
      </c>
      <c r="G188" s="39" t="s">
        <v>131</v>
      </c>
      <c r="H188" s="42" t="s">
        <v>133</v>
      </c>
    </row>
    <row r="189" customFormat="false" ht="18" hidden="false" customHeight="true" outlineLevel="0" collapsed="false">
      <c r="A189" s="38" t="s">
        <v>67</v>
      </c>
      <c r="B189" s="39" t="n">
        <v>29</v>
      </c>
      <c r="C189" s="40" t="n">
        <v>135125</v>
      </c>
      <c r="D189" s="40" t="n">
        <v>126801</v>
      </c>
      <c r="E189" s="41" t="n">
        <v>-8324</v>
      </c>
      <c r="F189" s="40" t="n">
        <v>2297</v>
      </c>
      <c r="G189" s="39" t="s">
        <v>131</v>
      </c>
      <c r="H189" s="42" t="s">
        <v>134</v>
      </c>
    </row>
    <row r="190" customFormat="false" ht="18" hidden="false" customHeight="true" outlineLevel="0" collapsed="false">
      <c r="A190" s="38" t="s">
        <v>68</v>
      </c>
      <c r="B190" s="39" t="n">
        <v>5</v>
      </c>
      <c r="C190" s="40" t="n">
        <v>1072017</v>
      </c>
      <c r="D190" s="40" t="n">
        <v>0</v>
      </c>
      <c r="E190" s="41" t="n">
        <v>-1072017</v>
      </c>
      <c r="F190" s="40" t="n">
        <v>219930</v>
      </c>
      <c r="G190" s="39" t="s">
        <v>131</v>
      </c>
      <c r="H190" s="42"/>
    </row>
    <row r="191" customFormat="false" ht="18" hidden="false" customHeight="true" outlineLevel="0" collapsed="false">
      <c r="A191" s="38" t="s">
        <v>69</v>
      </c>
      <c r="B191" s="39" t="n">
        <v>26</v>
      </c>
      <c r="C191" s="40" t="n">
        <v>390838</v>
      </c>
      <c r="D191" s="40" t="n">
        <v>346578</v>
      </c>
      <c r="E191" s="41" t="n">
        <v>-44260</v>
      </c>
      <c r="F191" s="40" t="n">
        <v>12143</v>
      </c>
      <c r="G191" s="39" t="s">
        <v>131</v>
      </c>
      <c r="H191" s="42" t="s">
        <v>135</v>
      </c>
    </row>
    <row r="192" customFormat="false" ht="18" hidden="false" customHeight="true" outlineLevel="0" collapsed="false">
      <c r="A192" s="43" t="s">
        <v>70</v>
      </c>
      <c r="B192" s="44" t="n">
        <v>29</v>
      </c>
      <c r="C192" s="45" t="n">
        <v>10598834</v>
      </c>
      <c r="D192" s="45" t="n">
        <v>15124475</v>
      </c>
      <c r="E192" s="46" t="n">
        <v>4525641</v>
      </c>
      <c r="F192" s="45" t="n">
        <v>880993</v>
      </c>
      <c r="G192" s="44" t="s">
        <v>136</v>
      </c>
      <c r="H192" s="47" t="s">
        <v>137</v>
      </c>
    </row>
    <row r="193" customFormat="false" ht="18" hidden="false" customHeight="true" outlineLevel="0" collapsed="false">
      <c r="A193" s="38" t="s">
        <v>71</v>
      </c>
      <c r="B193" s="39" t="n">
        <v>5</v>
      </c>
      <c r="C193" s="40" t="n">
        <v>837912</v>
      </c>
      <c r="D193" s="40" t="n">
        <v>0</v>
      </c>
      <c r="E193" s="41" t="n">
        <v>-837912</v>
      </c>
      <c r="F193" s="40" t="n">
        <v>169002</v>
      </c>
      <c r="G193" s="39" t="s">
        <v>131</v>
      </c>
      <c r="H193" s="42"/>
    </row>
    <row r="194" customFormat="false" ht="18" hidden="false" customHeight="true" outlineLevel="0" collapsed="false">
      <c r="A194" s="38" t="s">
        <v>73</v>
      </c>
      <c r="B194" s="39" t="n">
        <v>6</v>
      </c>
      <c r="C194" s="40" t="n">
        <v>2269735</v>
      </c>
      <c r="D194" s="40" t="n">
        <v>0</v>
      </c>
      <c r="E194" s="41" t="n">
        <v>-2269735</v>
      </c>
      <c r="F194" s="40" t="n">
        <v>416101</v>
      </c>
      <c r="G194" s="39" t="s">
        <v>131</v>
      </c>
      <c r="H194" s="42" t="s">
        <v>132</v>
      </c>
    </row>
    <row r="195" customFormat="false" ht="18" hidden="false" customHeight="true" outlineLevel="0" collapsed="false">
      <c r="A195" s="38" t="s">
        <v>74</v>
      </c>
      <c r="B195" s="39" t="n">
        <v>5</v>
      </c>
      <c r="C195" s="40" t="n">
        <v>335882</v>
      </c>
      <c r="D195" s="40" t="n">
        <v>0</v>
      </c>
      <c r="E195" s="41" t="n">
        <v>-335882</v>
      </c>
      <c r="F195" s="40" t="n">
        <v>71752</v>
      </c>
      <c r="G195" s="39" t="s">
        <v>131</v>
      </c>
      <c r="H195" s="42"/>
    </row>
    <row r="196" customFormat="false" ht="18" hidden="false" customHeight="true" outlineLevel="0" collapsed="false">
      <c r="A196" s="38" t="s">
        <v>75</v>
      </c>
      <c r="B196" s="39" t="n">
        <v>29</v>
      </c>
      <c r="C196" s="40" t="n">
        <v>2010095</v>
      </c>
      <c r="D196" s="40" t="n">
        <v>1918982</v>
      </c>
      <c r="E196" s="41" t="n">
        <v>-91113</v>
      </c>
      <c r="F196" s="40" t="n">
        <v>33019</v>
      </c>
      <c r="G196" s="39" t="s">
        <v>131</v>
      </c>
      <c r="H196" s="42" t="s">
        <v>134</v>
      </c>
    </row>
    <row r="197" customFormat="false" ht="18" hidden="false" customHeight="true" outlineLevel="0" collapsed="false">
      <c r="A197" s="38" t="s">
        <v>76</v>
      </c>
      <c r="B197" s="39" t="n">
        <v>5</v>
      </c>
      <c r="C197" s="40" t="n">
        <v>171635</v>
      </c>
      <c r="D197" s="40" t="n">
        <v>0</v>
      </c>
      <c r="E197" s="41" t="n">
        <v>-171635</v>
      </c>
      <c r="F197" s="40" t="n">
        <v>41202</v>
      </c>
      <c r="G197" s="39" t="s">
        <v>131</v>
      </c>
      <c r="H197" s="42"/>
    </row>
    <row r="198" customFormat="false" ht="18" hidden="false" customHeight="true" outlineLevel="0" collapsed="false">
      <c r="A198" s="38" t="s">
        <v>77</v>
      </c>
      <c r="B198" s="39" t="n">
        <v>5</v>
      </c>
      <c r="C198" s="40" t="n">
        <v>123820</v>
      </c>
      <c r="D198" s="40" t="n">
        <v>0</v>
      </c>
      <c r="E198" s="41" t="n">
        <v>-123820</v>
      </c>
      <c r="F198" s="40" t="n">
        <v>37105</v>
      </c>
      <c r="G198" s="39" t="s">
        <v>131</v>
      </c>
      <c r="H198" s="42"/>
    </row>
  </sheetData>
  <mergeCells count="3">
    <mergeCell ref="A1:I1"/>
    <mergeCell ref="A2:I2"/>
    <mergeCell ref="A185:I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40"/>
  </cols>
  <sheetData>
    <row r="1" customFormat="false" ht="30" hidden="false" customHeight="true" outlineLevel="0" collapsed="false">
      <c r="A1" s="24" t="s">
        <v>138</v>
      </c>
      <c r="B1" s="24"/>
      <c r="C1" s="24"/>
      <c r="D1" s="24"/>
    </row>
    <row r="2" customFormat="false" ht="19.5" hidden="false" customHeight="true" outlineLevel="0" collapsed="false">
      <c r="A2" s="25" t="s">
        <v>139</v>
      </c>
      <c r="B2" s="25"/>
      <c r="C2" s="25"/>
      <c r="D2" s="25"/>
    </row>
    <row r="3" customFormat="false" ht="37.5" hidden="false" customHeight="true" outlineLevel="0" collapsed="false">
      <c r="A3" s="48" t="s">
        <v>84</v>
      </c>
      <c r="B3" s="48" t="s">
        <v>140</v>
      </c>
      <c r="C3" s="48" t="s">
        <v>141</v>
      </c>
      <c r="D3" s="48" t="s">
        <v>142</v>
      </c>
    </row>
    <row r="4" customFormat="false" ht="21.75" hidden="false" customHeight="true" outlineLevel="0" collapsed="false">
      <c r="A4" s="49" t="s">
        <v>65</v>
      </c>
      <c r="B4" s="50" t="n">
        <v>29639</v>
      </c>
      <c r="C4" s="50" t="n">
        <v>29639</v>
      </c>
      <c r="D4" s="51" t="n">
        <v>0</v>
      </c>
    </row>
    <row r="5" customFormat="false" ht="21.75" hidden="false" customHeight="true" outlineLevel="0" collapsed="false">
      <c r="A5" s="52" t="s">
        <v>66</v>
      </c>
      <c r="B5" s="53" t="n">
        <v>1494</v>
      </c>
      <c r="C5" s="53" t="n">
        <v>1464</v>
      </c>
      <c r="D5" s="54" t="n">
        <v>-30</v>
      </c>
    </row>
    <row r="6" customFormat="false" ht="21.75" hidden="false" customHeight="true" outlineLevel="0" collapsed="false">
      <c r="A6" s="55" t="s">
        <v>67</v>
      </c>
      <c r="B6" s="56" t="n">
        <v>8357</v>
      </c>
      <c r="C6" s="56" t="n">
        <v>8463</v>
      </c>
      <c r="D6" s="57" t="n">
        <v>106</v>
      </c>
    </row>
    <row r="7" customFormat="false" ht="21.75" hidden="false" customHeight="true" outlineLevel="0" collapsed="false">
      <c r="A7" s="49" t="s">
        <v>68</v>
      </c>
      <c r="B7" s="50" t="n">
        <v>306952</v>
      </c>
      <c r="C7" s="50" t="n">
        <v>306952</v>
      </c>
      <c r="D7" s="51" t="n">
        <v>0</v>
      </c>
    </row>
    <row r="8" customFormat="false" ht="21.75" hidden="false" customHeight="true" outlineLevel="0" collapsed="false">
      <c r="A8" s="58" t="s">
        <v>69</v>
      </c>
      <c r="B8" s="59" t="n">
        <v>30873</v>
      </c>
      <c r="C8" s="59" t="n">
        <v>32122</v>
      </c>
      <c r="D8" s="60" t="n">
        <v>1249</v>
      </c>
    </row>
    <row r="9" customFormat="false" ht="21.75" hidden="false" customHeight="true" outlineLevel="0" collapsed="false">
      <c r="A9" s="61" t="s">
        <v>70</v>
      </c>
      <c r="B9" s="62" t="n">
        <v>358229</v>
      </c>
      <c r="C9" s="62" t="n">
        <v>823946</v>
      </c>
      <c r="D9" s="63" t="n">
        <v>465717</v>
      </c>
    </row>
    <row r="10" customFormat="false" ht="21.75" hidden="false" customHeight="true" outlineLevel="0" collapsed="false">
      <c r="A10" s="49" t="s">
        <v>71</v>
      </c>
      <c r="B10" s="50" t="n">
        <v>0</v>
      </c>
      <c r="C10" s="50" t="n">
        <v>0</v>
      </c>
      <c r="D10" s="51" t="n">
        <v>0</v>
      </c>
    </row>
    <row r="11" customFormat="false" ht="21.75" hidden="false" customHeight="true" outlineLevel="0" collapsed="false">
      <c r="A11" s="49" t="s">
        <v>73</v>
      </c>
      <c r="B11" s="50" t="n">
        <v>583029</v>
      </c>
      <c r="C11" s="50" t="n">
        <v>583029</v>
      </c>
      <c r="D11" s="51" t="n">
        <v>0</v>
      </c>
    </row>
    <row r="12" customFormat="false" ht="21.75" hidden="false" customHeight="true" outlineLevel="0" collapsed="false">
      <c r="A12" s="49" t="s">
        <v>74</v>
      </c>
      <c r="B12" s="50" t="n">
        <v>58475</v>
      </c>
      <c r="C12" s="50" t="n">
        <v>58475</v>
      </c>
      <c r="D12" s="51" t="n">
        <v>0</v>
      </c>
    </row>
    <row r="13" customFormat="false" ht="21.75" hidden="false" customHeight="true" outlineLevel="0" collapsed="false">
      <c r="A13" s="58" t="s">
        <v>75</v>
      </c>
      <c r="B13" s="59" t="n">
        <v>101267</v>
      </c>
      <c r="C13" s="59" t="n">
        <v>103853</v>
      </c>
      <c r="D13" s="60" t="n">
        <v>2586</v>
      </c>
    </row>
    <row r="14" customFormat="false" ht="21.75" hidden="false" customHeight="true" outlineLevel="0" collapsed="false">
      <c r="A14" s="49" t="s">
        <v>76</v>
      </c>
      <c r="B14" s="50" t="n">
        <v>100938</v>
      </c>
      <c r="C14" s="50" t="n">
        <v>100938</v>
      </c>
      <c r="D14" s="51" t="n">
        <v>0</v>
      </c>
    </row>
    <row r="15" customFormat="false" ht="21.75" hidden="false" customHeight="true" outlineLevel="0" collapsed="false">
      <c r="A15" s="49" t="s">
        <v>77</v>
      </c>
      <c r="B15" s="50" t="n">
        <v>2000</v>
      </c>
      <c r="C15" s="50" t="n">
        <v>2000</v>
      </c>
      <c r="D15" s="51" t="n">
        <v>0</v>
      </c>
    </row>
    <row r="16" customFormat="false" ht="24" hidden="false" customHeight="true" outlineLevel="0" collapsed="false">
      <c r="A16" s="64" t="s">
        <v>143</v>
      </c>
      <c r="B16" s="65" t="n">
        <f aca="false">SUM(B4:B15)</f>
        <v>1581253</v>
      </c>
      <c r="C16" s="65" t="n">
        <f aca="false">SUM(C4:C15)</f>
        <v>2050881</v>
      </c>
      <c r="D16" s="66" t="n">
        <f aca="false">C16-B16</f>
        <v>469628</v>
      </c>
    </row>
    <row r="18" customFormat="false" ht="21.75" hidden="false" customHeight="true" outlineLevel="0" collapsed="false">
      <c r="A18" s="3" t="s">
        <v>144</v>
      </c>
      <c r="B18" s="3"/>
      <c r="C18" s="3"/>
      <c r="D18" s="3"/>
    </row>
    <row r="19" customFormat="false" ht="48" hidden="false" customHeight="true" outlineLevel="0" collapsed="false">
      <c r="A19" s="67" t="s">
        <v>70</v>
      </c>
      <c r="B19" s="68" t="s">
        <v>145</v>
      </c>
      <c r="C19" s="69" t="s">
        <v>146</v>
      </c>
      <c r="D19" s="69"/>
    </row>
    <row r="20" customFormat="false" ht="48" hidden="false" customHeight="true" outlineLevel="0" collapsed="false">
      <c r="A20" s="67" t="s">
        <v>75</v>
      </c>
      <c r="B20" s="68" t="s">
        <v>147</v>
      </c>
      <c r="C20" s="69" t="s">
        <v>148</v>
      </c>
      <c r="D20" s="69"/>
    </row>
    <row r="21" customFormat="false" ht="48" hidden="false" customHeight="true" outlineLevel="0" collapsed="false">
      <c r="A21" s="67" t="s">
        <v>69</v>
      </c>
      <c r="B21" s="68" t="s">
        <v>149</v>
      </c>
      <c r="C21" s="69" t="s">
        <v>150</v>
      </c>
      <c r="D21" s="69"/>
    </row>
    <row r="22" customFormat="false" ht="48" hidden="false" customHeight="true" outlineLevel="0" collapsed="false">
      <c r="A22" s="67" t="s">
        <v>67</v>
      </c>
      <c r="B22" s="68" t="s">
        <v>151</v>
      </c>
      <c r="C22" s="69" t="s">
        <v>152</v>
      </c>
      <c r="D22" s="69"/>
    </row>
    <row r="23" customFormat="false" ht="48" hidden="false" customHeight="true" outlineLevel="0" collapsed="false">
      <c r="A23" s="67" t="s">
        <v>66</v>
      </c>
      <c r="B23" s="70" t="s">
        <v>153</v>
      </c>
      <c r="C23" s="69" t="s">
        <v>154</v>
      </c>
      <c r="D23" s="69"/>
    </row>
    <row r="24" customFormat="false" ht="48" hidden="false" customHeight="true" outlineLevel="0" collapsed="false">
      <c r="A24" s="67" t="s">
        <v>65</v>
      </c>
      <c r="B24" s="70" t="s">
        <v>155</v>
      </c>
      <c r="C24" s="69" t="s">
        <v>156</v>
      </c>
      <c r="D24" s="69"/>
    </row>
    <row r="25" customFormat="false" ht="48" hidden="false" customHeight="true" outlineLevel="0" collapsed="false">
      <c r="A25" s="67" t="s">
        <v>73</v>
      </c>
      <c r="B25" s="70" t="s">
        <v>155</v>
      </c>
      <c r="C25" s="69" t="s">
        <v>157</v>
      </c>
      <c r="D25" s="69"/>
    </row>
  </sheetData>
  <mergeCells count="10">
    <mergeCell ref="A1:D1"/>
    <mergeCell ref="A2:D2"/>
    <mergeCell ref="A18:D18"/>
    <mergeCell ref="C19:D19"/>
    <mergeCell ref="C20:D20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24" t="s">
        <v>158</v>
      </c>
      <c r="B1" s="24"/>
      <c r="C1" s="24"/>
      <c r="D1" s="24"/>
      <c r="E1" s="24"/>
      <c r="F1" s="24"/>
    </row>
    <row r="2" customFormat="false" ht="24" hidden="false" customHeight="true" outlineLevel="0" collapsed="false">
      <c r="A2" s="26" t="s">
        <v>83</v>
      </c>
      <c r="B2" s="26" t="s">
        <v>159</v>
      </c>
      <c r="C2" s="26" t="s">
        <v>123</v>
      </c>
      <c r="D2" s="26" t="s">
        <v>160</v>
      </c>
      <c r="E2" s="26" t="s">
        <v>161</v>
      </c>
      <c r="F2" s="26" t="s">
        <v>162</v>
      </c>
    </row>
    <row r="3" customFormat="false" ht="51.75" hidden="false" customHeight="true" outlineLevel="0" collapsed="false">
      <c r="A3" s="71" t="s">
        <v>163</v>
      </c>
      <c r="B3" s="72" t="s">
        <v>164</v>
      </c>
      <c r="C3" s="72" t="s">
        <v>70</v>
      </c>
      <c r="D3" s="72" t="s">
        <v>165</v>
      </c>
      <c r="E3" s="71" t="s">
        <v>166</v>
      </c>
      <c r="F3" s="71" t="s">
        <v>167</v>
      </c>
    </row>
    <row r="4" customFormat="false" ht="51.75" hidden="false" customHeight="true" outlineLevel="0" collapsed="false">
      <c r="A4" s="47" t="s">
        <v>168</v>
      </c>
      <c r="B4" s="43" t="s">
        <v>169</v>
      </c>
      <c r="C4" s="43" t="s">
        <v>75</v>
      </c>
      <c r="D4" s="43" t="s">
        <v>170</v>
      </c>
      <c r="E4" s="47" t="s">
        <v>171</v>
      </c>
      <c r="F4" s="47" t="s">
        <v>172</v>
      </c>
    </row>
    <row r="5" customFormat="false" ht="51.75" hidden="false" customHeight="true" outlineLevel="0" collapsed="false">
      <c r="A5" s="47" t="s">
        <v>173</v>
      </c>
      <c r="B5" s="43" t="s">
        <v>169</v>
      </c>
      <c r="C5" s="43" t="s">
        <v>69</v>
      </c>
      <c r="D5" s="43" t="s">
        <v>170</v>
      </c>
      <c r="E5" s="47" t="s">
        <v>174</v>
      </c>
      <c r="F5" s="47" t="s">
        <v>172</v>
      </c>
    </row>
    <row r="6" customFormat="false" ht="51.75" hidden="false" customHeight="true" outlineLevel="0" collapsed="false">
      <c r="A6" s="73" t="s">
        <v>175</v>
      </c>
      <c r="B6" s="74" t="s">
        <v>176</v>
      </c>
      <c r="C6" s="74" t="s">
        <v>67</v>
      </c>
      <c r="D6" s="74" t="s">
        <v>170</v>
      </c>
      <c r="E6" s="73" t="s">
        <v>177</v>
      </c>
      <c r="F6" s="73" t="s">
        <v>172</v>
      </c>
    </row>
    <row r="7" customFormat="false" ht="51.75" hidden="false" customHeight="true" outlineLevel="0" collapsed="false">
      <c r="A7" s="73" t="s">
        <v>178</v>
      </c>
      <c r="B7" s="74" t="s">
        <v>176</v>
      </c>
      <c r="C7" s="74" t="s">
        <v>66</v>
      </c>
      <c r="D7" s="74" t="s">
        <v>179</v>
      </c>
      <c r="E7" s="73" t="s">
        <v>180</v>
      </c>
      <c r="F7" s="73" t="s">
        <v>181</v>
      </c>
    </row>
    <row r="8" customFormat="false" ht="51.75" hidden="false" customHeight="true" outlineLevel="0" collapsed="false">
      <c r="A8" s="75" t="s">
        <v>182</v>
      </c>
      <c r="B8" s="76" t="s">
        <v>183</v>
      </c>
      <c r="C8" s="76" t="s">
        <v>65</v>
      </c>
      <c r="D8" s="76" t="s">
        <v>184</v>
      </c>
      <c r="E8" s="75" t="s">
        <v>185</v>
      </c>
      <c r="F8" s="75" t="s">
        <v>186</v>
      </c>
    </row>
    <row r="9" customFormat="false" ht="51.75" hidden="false" customHeight="true" outlineLevel="0" collapsed="false">
      <c r="A9" s="75" t="s">
        <v>187</v>
      </c>
      <c r="B9" s="76" t="s">
        <v>183</v>
      </c>
      <c r="C9" s="76" t="s">
        <v>73</v>
      </c>
      <c r="D9" s="76" t="s">
        <v>184</v>
      </c>
      <c r="E9" s="75" t="s">
        <v>188</v>
      </c>
      <c r="F9" s="75" t="s">
        <v>186</v>
      </c>
    </row>
    <row r="10" customFormat="false" ht="51.75" hidden="false" customHeight="true" outlineLevel="0" collapsed="false">
      <c r="A10" s="75" t="s">
        <v>189</v>
      </c>
      <c r="B10" s="76" t="s">
        <v>183</v>
      </c>
      <c r="C10" s="76" t="s">
        <v>190</v>
      </c>
      <c r="D10" s="76" t="s">
        <v>191</v>
      </c>
      <c r="E10" s="75" t="s">
        <v>192</v>
      </c>
      <c r="F10" s="75" t="s">
        <v>193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2026-05-19T08:23:34Z</dcterms:created>
  <dc:creator>openpyxl</dc:creator>
  <dc:description/>
  <dc:language>en-US</dc:language>
  <cp:lastModifiedBy/>
  <dcterms:modified xsi:type="dcterms:W3CDTF">2026-05-19T08:23:35Z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